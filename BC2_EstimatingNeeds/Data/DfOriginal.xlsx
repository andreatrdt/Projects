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GitHub_Nick\Fintech_group13\"/>
    </mc:Choice>
  </mc:AlternateContent>
  <xr:revisionPtr revIDLastSave="0" documentId="13_ncr:1_{E88CB41B-1F7B-480D-BA99-A3E4D6F7CD35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comeInvestment" sheetId="1" r:id="rId1"/>
    <sheet name="AccumulationInvestment" sheetId="2" r:id="rId2"/>
  </sheets>
  <definedNames>
    <definedName name="_xlnm._FilterDatabase" localSheetId="1" hidden="1">AccumulationInvestment!$B$2:$S$66</definedName>
    <definedName name="_xlnm._FilterDatabase" localSheetId="0" hidden="1">IncomeInvestment!$A$2:$T$66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2" l="1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</calcChain>
</file>

<file path=xl/sharedStrings.xml><?xml version="1.0" encoding="utf-8"?>
<sst xmlns="http://schemas.openxmlformats.org/spreadsheetml/2006/main" count="805" uniqueCount="27">
  <si>
    <t>Model</t>
  </si>
  <si>
    <t>Features</t>
  </si>
  <si>
    <t>Metric</t>
  </si>
  <si>
    <t>CV Mean</t>
  </si>
  <si>
    <t>CV Std</t>
  </si>
  <si>
    <t>Test Set</t>
  </si>
  <si>
    <t>SVM</t>
  </si>
  <si>
    <t>NaiveBayes</t>
  </si>
  <si>
    <t>DecisionTree</t>
  </si>
  <si>
    <t>LogisticRegression</t>
  </si>
  <si>
    <t>Base</t>
  </si>
  <si>
    <t>Engineered</t>
  </si>
  <si>
    <t>Accuracy</t>
  </si>
  <si>
    <t>Precision</t>
  </si>
  <si>
    <t>Recall</t>
  </si>
  <si>
    <t>F1</t>
  </si>
  <si>
    <t>DataFrame_Originale</t>
  </si>
  <si>
    <t>XGBoost</t>
  </si>
  <si>
    <t>Enginnered</t>
  </si>
  <si>
    <t>LightGBM</t>
  </si>
  <si>
    <t>CatBoost</t>
  </si>
  <si>
    <t>RandomForestClassifier</t>
  </si>
  <si>
    <t>DataFrame_Mod</t>
  </si>
  <si>
    <t>gg</t>
  </si>
  <si>
    <t>STD_trigger</t>
  </si>
  <si>
    <t>ID</t>
  </si>
  <si>
    <t>Confronto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</si>
</sst>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top"/>
    </xf>
    <xf numFmtId="0" fontId="0" fillId="5" borderId="0" xfId="0" applyFill="1"/>
    <xf numFmtId="0" fontId="1" fillId="6" borderId="0" xfId="0" applyFont="1" applyFill="1"/>
    <xf numFmtId="0" fontId="1" fillId="3" borderId="4" xfId="0" applyFont="1" applyFill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opLeftCell="A50" workbookViewId="0">
      <selection activeCell="R59" sqref="R59:R61"/>
    </sheetView>
  </sheetViews>
  <sheetFormatPr defaultRowHeight="14.25" x14ac:dyDescent="0.45"/>
  <cols>
    <col min="2" max="2" width="19.265625" bestFit="1" customWidth="1"/>
    <col min="8" max="8" width="14.46484375" bestFit="1" customWidth="1"/>
    <col min="13" max="13" width="19.265625" bestFit="1" customWidth="1"/>
  </cols>
  <sheetData>
    <row r="1" spans="1:20" x14ac:dyDescent="0.45">
      <c r="B1" s="3" t="s">
        <v>16</v>
      </c>
      <c r="C1" s="3"/>
      <c r="D1" s="3"/>
      <c r="E1" s="3"/>
      <c r="F1" s="3"/>
      <c r="G1" s="3"/>
      <c r="M1" s="3" t="s">
        <v>22</v>
      </c>
      <c r="N1" s="3"/>
      <c r="O1" s="3"/>
      <c r="P1" s="3"/>
      <c r="Q1" s="3"/>
      <c r="R1" s="3"/>
    </row>
    <row r="2" spans="1:20" x14ac:dyDescent="0.45">
      <c r="A2" s="6" t="s">
        <v>25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4" t="s">
        <v>24</v>
      </c>
      <c r="I2" s="4" t="s">
        <v>23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4" t="s">
        <v>24</v>
      </c>
      <c r="T2" s="4" t="s">
        <v>26</v>
      </c>
    </row>
    <row r="3" spans="1:20" x14ac:dyDescent="0.45">
      <c r="A3">
        <v>1</v>
      </c>
      <c r="B3" t="s">
        <v>6</v>
      </c>
      <c r="C3" t="s">
        <v>10</v>
      </c>
      <c r="D3" t="s">
        <v>12</v>
      </c>
      <c r="E3">
        <v>0.77</v>
      </c>
      <c r="F3">
        <v>1.4E-2</v>
      </c>
      <c r="G3">
        <v>0.749</v>
      </c>
      <c r="H3">
        <f>+IF(F3&gt;=0.035,1,0)</f>
        <v>0</v>
      </c>
      <c r="I3">
        <f>+IF(AND(C3="Base",D3="F1"),1,0)</f>
        <v>0</v>
      </c>
      <c r="M3" t="s">
        <v>6</v>
      </c>
      <c r="N3" t="s">
        <v>10</v>
      </c>
      <c r="O3" t="s">
        <v>12</v>
      </c>
      <c r="P3">
        <v>0.76500000000000001</v>
      </c>
      <c r="Q3">
        <v>1.6E-2</v>
      </c>
      <c r="R3">
        <v>0.78100000000000003</v>
      </c>
      <c r="S3">
        <f>+IF(Q3&gt;=0.035,1,0)</f>
        <v>0</v>
      </c>
      <c r="T3" t="b">
        <f>+R3&gt;G3</f>
        <v>1</v>
      </c>
    </row>
    <row r="4" spans="1:20" x14ac:dyDescent="0.45">
      <c r="A4">
        <f>+A3+1</f>
        <v>2</v>
      </c>
      <c r="B4" t="s">
        <v>6</v>
      </c>
      <c r="C4" t="s">
        <v>10</v>
      </c>
      <c r="D4" t="s">
        <v>13</v>
      </c>
      <c r="E4">
        <v>0.81899999999999995</v>
      </c>
      <c r="F4">
        <v>1.7000000000000001E-2</v>
      </c>
      <c r="G4">
        <v>0.80600000000000005</v>
      </c>
      <c r="H4">
        <f>+IF(F4&gt;=0.035,1,0)</f>
        <v>0</v>
      </c>
      <c r="I4">
        <f t="shared" ref="I4:I66" si="0">+IF(AND(C4="Base",D4="F1"),1,0)</f>
        <v>0</v>
      </c>
      <c r="M4" s="5" t="s">
        <v>6</v>
      </c>
      <c r="N4" s="5" t="s">
        <v>10</v>
      </c>
      <c r="O4" s="5" t="s">
        <v>13</v>
      </c>
      <c r="P4" s="5">
        <v>0.82799999999999996</v>
      </c>
      <c r="Q4" s="5">
        <v>4.4999999999999998E-2</v>
      </c>
      <c r="R4" s="5">
        <v>0.83399999999999996</v>
      </c>
      <c r="S4">
        <f>+IF(Q4&gt;=0.035,1,0)</f>
        <v>1</v>
      </c>
      <c r="T4" t="b">
        <f t="shared" ref="T4:T66" si="1">+R4&gt;G4</f>
        <v>1</v>
      </c>
    </row>
    <row r="5" spans="1:20" x14ac:dyDescent="0.45">
      <c r="A5">
        <f t="shared" ref="A5:A66" si="2">+A4+1</f>
        <v>3</v>
      </c>
      <c r="B5" s="5" t="s">
        <v>6</v>
      </c>
      <c r="C5" s="5" t="s">
        <v>10</v>
      </c>
      <c r="D5" s="5" t="s">
        <v>14</v>
      </c>
      <c r="E5" s="5">
        <v>0.51800000000000002</v>
      </c>
      <c r="F5" s="5">
        <v>3.9E-2</v>
      </c>
      <c r="G5" s="5">
        <v>0.45600000000000002</v>
      </c>
      <c r="H5" s="5">
        <f>+IF(F5&gt;=0.035,1,0)</f>
        <v>1</v>
      </c>
      <c r="I5">
        <f t="shared" si="0"/>
        <v>0</v>
      </c>
      <c r="M5" t="s">
        <v>6</v>
      </c>
      <c r="N5" t="s">
        <v>10</v>
      </c>
      <c r="O5" t="s">
        <v>14</v>
      </c>
      <c r="P5">
        <v>0.505</v>
      </c>
      <c r="Q5">
        <v>2.1000000000000001E-2</v>
      </c>
      <c r="R5">
        <v>0.54800000000000004</v>
      </c>
      <c r="S5">
        <f>+IF(Q5&gt;=0.035,1,0)</f>
        <v>0</v>
      </c>
      <c r="T5" t="b">
        <f t="shared" si="1"/>
        <v>1</v>
      </c>
    </row>
    <row r="6" spans="1:20" x14ac:dyDescent="0.45">
      <c r="A6">
        <f t="shared" si="2"/>
        <v>4</v>
      </c>
      <c r="B6" t="s">
        <v>6</v>
      </c>
      <c r="C6" t="s">
        <v>10</v>
      </c>
      <c r="D6" t="s">
        <v>15</v>
      </c>
      <c r="E6">
        <v>0.63300000000000001</v>
      </c>
      <c r="F6">
        <v>2.5000000000000001E-2</v>
      </c>
      <c r="G6">
        <v>0.58199999999999996</v>
      </c>
      <c r="H6">
        <f>+IF(F6&gt;=0.035,1,0)</f>
        <v>0</v>
      </c>
      <c r="I6">
        <f t="shared" si="0"/>
        <v>1</v>
      </c>
      <c r="M6" t="s">
        <v>6</v>
      </c>
      <c r="N6" t="s">
        <v>10</v>
      </c>
      <c r="O6" t="s">
        <v>15</v>
      </c>
      <c r="P6">
        <v>0.627</v>
      </c>
      <c r="Q6">
        <v>2.1999999999999999E-2</v>
      </c>
      <c r="R6">
        <v>0.66100000000000003</v>
      </c>
      <c r="S6">
        <f>+IF(Q6&gt;=0.035,1,0)</f>
        <v>0</v>
      </c>
      <c r="T6" t="b">
        <f t="shared" si="1"/>
        <v>1</v>
      </c>
    </row>
    <row r="7" spans="1:20" x14ac:dyDescent="0.45">
      <c r="A7">
        <f t="shared" si="2"/>
        <v>5</v>
      </c>
      <c r="B7" t="s">
        <v>6</v>
      </c>
      <c r="C7" t="s">
        <v>11</v>
      </c>
      <c r="D7" t="s">
        <v>12</v>
      </c>
      <c r="E7">
        <v>0.72399999999999998</v>
      </c>
      <c r="F7">
        <v>1.4999999999999999E-2</v>
      </c>
      <c r="G7">
        <v>0.70699999999999996</v>
      </c>
      <c r="H7">
        <f>+IF(F7&gt;=0.035,1,0)</f>
        <v>0</v>
      </c>
      <c r="I7">
        <f t="shared" si="0"/>
        <v>0</v>
      </c>
      <c r="M7" t="s">
        <v>6</v>
      </c>
      <c r="N7" t="s">
        <v>11</v>
      </c>
      <c r="O7" t="s">
        <v>12</v>
      </c>
      <c r="P7">
        <v>0.71799999999999997</v>
      </c>
      <c r="Q7">
        <v>1.6E-2</v>
      </c>
      <c r="R7">
        <v>0.72599999999999998</v>
      </c>
      <c r="S7">
        <f>+IF(Q7&gt;=0.035,1,0)</f>
        <v>0</v>
      </c>
      <c r="T7" t="b">
        <f t="shared" si="1"/>
        <v>1</v>
      </c>
    </row>
    <row r="8" spans="1:20" x14ac:dyDescent="0.45">
      <c r="A8">
        <f t="shared" si="2"/>
        <v>6</v>
      </c>
      <c r="B8" t="s">
        <v>6</v>
      </c>
      <c r="C8" t="s">
        <v>11</v>
      </c>
      <c r="D8" t="s">
        <v>13</v>
      </c>
      <c r="E8">
        <v>0.77100000000000002</v>
      </c>
      <c r="F8">
        <v>2.8000000000000001E-2</v>
      </c>
      <c r="G8">
        <v>0.73799999999999999</v>
      </c>
      <c r="H8">
        <f>+IF(F8&gt;=0.035,1,0)</f>
        <v>0</v>
      </c>
      <c r="I8">
        <f t="shared" si="0"/>
        <v>0</v>
      </c>
      <c r="M8" t="s">
        <v>6</v>
      </c>
      <c r="N8" t="s">
        <v>11</v>
      </c>
      <c r="O8" t="s">
        <v>13</v>
      </c>
      <c r="P8">
        <v>0.75900000000000001</v>
      </c>
      <c r="Q8">
        <v>3.4000000000000002E-2</v>
      </c>
      <c r="R8">
        <v>0.748</v>
      </c>
      <c r="S8">
        <f>+IF(Q8&gt;=0.035,1,0)</f>
        <v>0</v>
      </c>
      <c r="T8" t="b">
        <f t="shared" si="1"/>
        <v>1</v>
      </c>
    </row>
    <row r="9" spans="1:20" x14ac:dyDescent="0.45">
      <c r="A9">
        <f t="shared" si="2"/>
        <v>7</v>
      </c>
      <c r="B9" t="s">
        <v>6</v>
      </c>
      <c r="C9" t="s">
        <v>11</v>
      </c>
      <c r="D9" t="s">
        <v>14</v>
      </c>
      <c r="E9">
        <v>0.4</v>
      </c>
      <c r="F9">
        <v>2.4E-2</v>
      </c>
      <c r="G9">
        <v>0.36699999999999999</v>
      </c>
      <c r="H9">
        <f>+IF(F9&gt;=0.035,1,0)</f>
        <v>0</v>
      </c>
      <c r="I9">
        <f t="shared" si="0"/>
        <v>0</v>
      </c>
      <c r="M9" t="s">
        <v>6</v>
      </c>
      <c r="N9" t="s">
        <v>11</v>
      </c>
      <c r="O9" t="s">
        <v>14</v>
      </c>
      <c r="P9">
        <v>0.40899999999999997</v>
      </c>
      <c r="Q9">
        <v>2.1999999999999999E-2</v>
      </c>
      <c r="R9">
        <v>0.44900000000000001</v>
      </c>
      <c r="S9">
        <f>+IF(Q9&gt;=0.035,1,0)</f>
        <v>0</v>
      </c>
      <c r="T9" t="b">
        <f t="shared" si="1"/>
        <v>1</v>
      </c>
    </row>
    <row r="10" spans="1:20" x14ac:dyDescent="0.45">
      <c r="A10">
        <f t="shared" si="2"/>
        <v>8</v>
      </c>
      <c r="B10" t="s">
        <v>6</v>
      </c>
      <c r="C10" t="s">
        <v>11</v>
      </c>
      <c r="D10" t="s">
        <v>15</v>
      </c>
      <c r="E10">
        <v>0.52600000000000002</v>
      </c>
      <c r="F10">
        <v>2.1000000000000001E-2</v>
      </c>
      <c r="G10">
        <v>0.49</v>
      </c>
      <c r="H10">
        <f>+IF(F10&gt;=0.035,1,0)</f>
        <v>0</v>
      </c>
      <c r="I10">
        <f t="shared" si="0"/>
        <v>0</v>
      </c>
      <c r="M10" t="s">
        <v>6</v>
      </c>
      <c r="N10" t="s">
        <v>11</v>
      </c>
      <c r="O10" t="s">
        <v>15</v>
      </c>
      <c r="P10">
        <v>0.53100000000000003</v>
      </c>
      <c r="Q10">
        <v>2.1999999999999999E-2</v>
      </c>
      <c r="R10">
        <v>0.56100000000000005</v>
      </c>
      <c r="S10">
        <f>+IF(Q10&gt;=0.035,1,0)</f>
        <v>0</v>
      </c>
      <c r="T10" t="b">
        <f t="shared" si="1"/>
        <v>1</v>
      </c>
    </row>
    <row r="11" spans="1:20" x14ac:dyDescent="0.45">
      <c r="A11">
        <f t="shared" si="2"/>
        <v>9</v>
      </c>
      <c r="B11" t="s">
        <v>7</v>
      </c>
      <c r="C11" t="s">
        <v>10</v>
      </c>
      <c r="D11" t="s">
        <v>12</v>
      </c>
      <c r="E11">
        <v>0.749</v>
      </c>
      <c r="F11">
        <v>1.2E-2</v>
      </c>
      <c r="G11">
        <v>0.70799999999999996</v>
      </c>
      <c r="H11">
        <f>+IF(F11&gt;=0.035,1,0)</f>
        <v>0</v>
      </c>
      <c r="I11">
        <f t="shared" si="0"/>
        <v>0</v>
      </c>
      <c r="M11" t="s">
        <v>7</v>
      </c>
      <c r="N11" t="s">
        <v>10</v>
      </c>
      <c r="O11" t="s">
        <v>12</v>
      </c>
      <c r="P11">
        <v>0.73899999999999999</v>
      </c>
      <c r="Q11">
        <v>1.0999999999999999E-2</v>
      </c>
      <c r="R11">
        <v>0.74099999999999999</v>
      </c>
      <c r="S11">
        <f>+IF(Q11&gt;=0.035,1,0)</f>
        <v>0</v>
      </c>
      <c r="T11" t="b">
        <f t="shared" si="1"/>
        <v>1</v>
      </c>
    </row>
    <row r="12" spans="1:20" x14ac:dyDescent="0.45">
      <c r="A12">
        <f t="shared" si="2"/>
        <v>10</v>
      </c>
      <c r="B12" t="s">
        <v>7</v>
      </c>
      <c r="C12" t="s">
        <v>10</v>
      </c>
      <c r="D12" t="s">
        <v>13</v>
      </c>
      <c r="E12">
        <v>0.70299999999999996</v>
      </c>
      <c r="F12">
        <v>0.01</v>
      </c>
      <c r="G12">
        <v>0.64700000000000002</v>
      </c>
      <c r="H12">
        <f>+IF(F12&gt;=0.035,1,0)</f>
        <v>0</v>
      </c>
      <c r="I12">
        <f t="shared" si="0"/>
        <v>0</v>
      </c>
      <c r="M12" t="s">
        <v>7</v>
      </c>
      <c r="N12" t="s">
        <v>10</v>
      </c>
      <c r="O12" t="s">
        <v>13</v>
      </c>
      <c r="P12">
        <v>0.70199999999999996</v>
      </c>
      <c r="Q12">
        <v>2.5000000000000001E-2</v>
      </c>
      <c r="R12">
        <v>0.69899999999999995</v>
      </c>
      <c r="S12">
        <f>+IF(Q12&gt;=0.035,1,0)</f>
        <v>0</v>
      </c>
      <c r="T12" t="b">
        <f t="shared" si="1"/>
        <v>1</v>
      </c>
    </row>
    <row r="13" spans="1:20" x14ac:dyDescent="0.45">
      <c r="A13">
        <f t="shared" si="2"/>
        <v>11</v>
      </c>
      <c r="B13" s="5" t="s">
        <v>7</v>
      </c>
      <c r="C13" s="5" t="s">
        <v>10</v>
      </c>
      <c r="D13" s="5" t="s">
        <v>14</v>
      </c>
      <c r="E13" s="5">
        <v>0.6</v>
      </c>
      <c r="F13" s="5">
        <v>4.1000000000000002E-2</v>
      </c>
      <c r="G13" s="5">
        <v>0.52600000000000002</v>
      </c>
      <c r="H13" s="5">
        <f>+IF(F13&gt;=0.035,1,0)</f>
        <v>1</v>
      </c>
      <c r="I13">
        <f t="shared" si="0"/>
        <v>0</v>
      </c>
      <c r="M13" t="s">
        <v>7</v>
      </c>
      <c r="N13" t="s">
        <v>10</v>
      </c>
      <c r="O13" t="s">
        <v>14</v>
      </c>
      <c r="P13">
        <v>0.57599999999999996</v>
      </c>
      <c r="Q13">
        <v>1.2999999999999999E-2</v>
      </c>
      <c r="R13">
        <v>0.59299999999999997</v>
      </c>
      <c r="S13">
        <f>+IF(Q13&gt;=0.035,1,0)</f>
        <v>0</v>
      </c>
      <c r="T13" t="b">
        <f t="shared" si="1"/>
        <v>1</v>
      </c>
    </row>
    <row r="14" spans="1:20" x14ac:dyDescent="0.45">
      <c r="A14">
        <f t="shared" si="2"/>
        <v>12</v>
      </c>
      <c r="B14" t="s">
        <v>7</v>
      </c>
      <c r="C14" t="s">
        <v>10</v>
      </c>
      <c r="D14" t="s">
        <v>15</v>
      </c>
      <c r="E14">
        <v>0.64600000000000002</v>
      </c>
      <c r="F14">
        <v>0.02</v>
      </c>
      <c r="G14">
        <v>0.57999999999999996</v>
      </c>
      <c r="H14">
        <f>+IF(F14&gt;=0.035,1,0)</f>
        <v>0</v>
      </c>
      <c r="I14">
        <f t="shared" si="0"/>
        <v>1</v>
      </c>
      <c r="M14" t="s">
        <v>7</v>
      </c>
      <c r="N14" t="s">
        <v>10</v>
      </c>
      <c r="O14" t="s">
        <v>15</v>
      </c>
      <c r="P14">
        <v>0.63200000000000001</v>
      </c>
      <c r="Q14">
        <v>1.6E-2</v>
      </c>
      <c r="R14">
        <v>0.64200000000000002</v>
      </c>
      <c r="S14">
        <f>+IF(Q14&gt;=0.035,1,0)</f>
        <v>0</v>
      </c>
      <c r="T14" t="b">
        <f t="shared" si="1"/>
        <v>1</v>
      </c>
    </row>
    <row r="15" spans="1:20" x14ac:dyDescent="0.45">
      <c r="A15">
        <f t="shared" si="2"/>
        <v>13</v>
      </c>
      <c r="B15" t="s">
        <v>7</v>
      </c>
      <c r="C15" t="s">
        <v>11</v>
      </c>
      <c r="D15" t="s">
        <v>12</v>
      </c>
      <c r="E15">
        <v>0.71699999999999997</v>
      </c>
      <c r="F15">
        <v>1.7000000000000001E-2</v>
      </c>
      <c r="G15">
        <v>0.69099999999999995</v>
      </c>
      <c r="H15">
        <f>+IF(F15&gt;=0.035,1,0)</f>
        <v>0</v>
      </c>
      <c r="I15">
        <f t="shared" si="0"/>
        <v>0</v>
      </c>
      <c r="M15" t="s">
        <v>7</v>
      </c>
      <c r="N15" t="s">
        <v>11</v>
      </c>
      <c r="O15" t="s">
        <v>12</v>
      </c>
      <c r="P15">
        <v>0.71199999999999997</v>
      </c>
      <c r="Q15">
        <v>1.2E-2</v>
      </c>
      <c r="R15">
        <v>0.71799999999999997</v>
      </c>
      <c r="S15">
        <f>+IF(Q15&gt;=0.035,1,0)</f>
        <v>0</v>
      </c>
      <c r="T15" t="b">
        <f t="shared" si="1"/>
        <v>1</v>
      </c>
    </row>
    <row r="16" spans="1:20" x14ac:dyDescent="0.45">
      <c r="A16">
        <f t="shared" si="2"/>
        <v>14</v>
      </c>
      <c r="B16" t="s">
        <v>7</v>
      </c>
      <c r="C16" t="s">
        <v>11</v>
      </c>
      <c r="D16" t="s">
        <v>13</v>
      </c>
      <c r="E16">
        <v>0.64800000000000002</v>
      </c>
      <c r="F16">
        <v>1.7999999999999999E-2</v>
      </c>
      <c r="G16">
        <v>0.61799999999999999</v>
      </c>
      <c r="H16">
        <f>+IF(F16&gt;=0.035,1,0)</f>
        <v>0</v>
      </c>
      <c r="I16">
        <f t="shared" si="0"/>
        <v>0</v>
      </c>
      <c r="M16" t="s">
        <v>7</v>
      </c>
      <c r="N16" t="s">
        <v>11</v>
      </c>
      <c r="O16" t="s">
        <v>13</v>
      </c>
      <c r="P16">
        <v>0.65700000000000003</v>
      </c>
      <c r="Q16">
        <v>3.1E-2</v>
      </c>
      <c r="R16">
        <v>0.65600000000000003</v>
      </c>
      <c r="S16">
        <f>+IF(Q16&gt;=0.035,1,0)</f>
        <v>0</v>
      </c>
      <c r="T16" t="b">
        <f t="shared" si="1"/>
        <v>1</v>
      </c>
    </row>
    <row r="17" spans="1:20" x14ac:dyDescent="0.45">
      <c r="A17">
        <f t="shared" si="2"/>
        <v>15</v>
      </c>
      <c r="B17" s="5" t="s">
        <v>7</v>
      </c>
      <c r="C17" s="5" t="s">
        <v>11</v>
      </c>
      <c r="D17" s="5" t="s">
        <v>14</v>
      </c>
      <c r="E17" s="5">
        <v>0.57799999999999996</v>
      </c>
      <c r="F17" s="5">
        <v>3.5000000000000003E-2</v>
      </c>
      <c r="G17" s="5">
        <v>0.51300000000000001</v>
      </c>
      <c r="H17" s="5">
        <f>+IF(F17&gt;=0.035,1,0)</f>
        <v>1</v>
      </c>
      <c r="I17">
        <f t="shared" si="0"/>
        <v>0</v>
      </c>
      <c r="M17" t="s">
        <v>7</v>
      </c>
      <c r="N17" t="s">
        <v>11</v>
      </c>
      <c r="O17" t="s">
        <v>14</v>
      </c>
      <c r="P17">
        <v>0.55300000000000005</v>
      </c>
      <c r="Q17">
        <v>1.7999999999999999E-2</v>
      </c>
      <c r="R17">
        <v>0.58799999999999997</v>
      </c>
      <c r="S17">
        <f>+IF(Q17&gt;=0.035,1,0)</f>
        <v>0</v>
      </c>
      <c r="T17" t="b">
        <f t="shared" si="1"/>
        <v>1</v>
      </c>
    </row>
    <row r="18" spans="1:20" x14ac:dyDescent="0.45">
      <c r="A18">
        <f t="shared" si="2"/>
        <v>16</v>
      </c>
      <c r="B18" t="s">
        <v>7</v>
      </c>
      <c r="C18" t="s">
        <v>11</v>
      </c>
      <c r="D18" t="s">
        <v>15</v>
      </c>
      <c r="E18">
        <v>0.61</v>
      </c>
      <c r="F18">
        <v>2.4E-2</v>
      </c>
      <c r="G18">
        <v>0.56000000000000005</v>
      </c>
      <c r="H18">
        <f>+IF(F18&gt;=0.035,1,0)</f>
        <v>0</v>
      </c>
      <c r="I18">
        <f t="shared" si="0"/>
        <v>0</v>
      </c>
      <c r="M18" t="s">
        <v>7</v>
      </c>
      <c r="N18" t="s">
        <v>11</v>
      </c>
      <c r="O18" t="s">
        <v>15</v>
      </c>
      <c r="P18">
        <v>0.6</v>
      </c>
      <c r="Q18">
        <v>1.0999999999999999E-2</v>
      </c>
      <c r="R18">
        <v>0.62</v>
      </c>
      <c r="S18">
        <f>+IF(Q18&gt;=0.035,1,0)</f>
        <v>0</v>
      </c>
      <c r="T18" t="b">
        <f t="shared" si="1"/>
        <v>1</v>
      </c>
    </row>
    <row r="19" spans="1:20" x14ac:dyDescent="0.45">
      <c r="A19">
        <f t="shared" si="2"/>
        <v>17</v>
      </c>
      <c r="B19" t="s">
        <v>8</v>
      </c>
      <c r="C19" t="s">
        <v>10</v>
      </c>
      <c r="D19" t="s">
        <v>12</v>
      </c>
      <c r="E19">
        <v>0.70699999999999996</v>
      </c>
      <c r="F19">
        <v>1.9E-2</v>
      </c>
      <c r="G19">
        <v>0.70899999999999996</v>
      </c>
      <c r="H19">
        <f>+IF(F19&gt;=0.035,1,0)</f>
        <v>0</v>
      </c>
      <c r="I19">
        <f t="shared" si="0"/>
        <v>0</v>
      </c>
      <c r="M19" t="s">
        <v>8</v>
      </c>
      <c r="N19" t="s">
        <v>10</v>
      </c>
      <c r="O19" t="s">
        <v>12</v>
      </c>
      <c r="P19">
        <v>0.71499999999999997</v>
      </c>
      <c r="Q19">
        <v>1.2E-2</v>
      </c>
      <c r="R19">
        <v>0.72699999999999998</v>
      </c>
      <c r="S19">
        <f>+IF(Q19&gt;=0.035,1,0)</f>
        <v>0</v>
      </c>
      <c r="T19" t="b">
        <f t="shared" si="1"/>
        <v>1</v>
      </c>
    </row>
    <row r="20" spans="1:20" x14ac:dyDescent="0.45">
      <c r="A20">
        <f t="shared" si="2"/>
        <v>18</v>
      </c>
      <c r="B20" t="s">
        <v>8</v>
      </c>
      <c r="C20" t="s">
        <v>10</v>
      </c>
      <c r="D20" t="s">
        <v>13</v>
      </c>
      <c r="E20">
        <v>0.61499999999999999</v>
      </c>
      <c r="F20">
        <v>2.4E-2</v>
      </c>
      <c r="G20">
        <v>0.62</v>
      </c>
      <c r="H20">
        <f>+IF(F20&gt;=0.035,1,0)</f>
        <v>0</v>
      </c>
      <c r="I20">
        <f t="shared" si="0"/>
        <v>0</v>
      </c>
      <c r="M20" t="s">
        <v>8</v>
      </c>
      <c r="N20" t="s">
        <v>10</v>
      </c>
      <c r="O20" t="s">
        <v>13</v>
      </c>
      <c r="P20">
        <v>0.71899999999999997</v>
      </c>
      <c r="Q20">
        <v>0.02</v>
      </c>
      <c r="R20">
        <v>0.72199999999999998</v>
      </c>
      <c r="S20">
        <f>+IF(Q20&gt;=0.035,1,0)</f>
        <v>0</v>
      </c>
      <c r="T20" t="b">
        <f t="shared" si="1"/>
        <v>1</v>
      </c>
    </row>
    <row r="21" spans="1:20" x14ac:dyDescent="0.45">
      <c r="A21">
        <f t="shared" si="2"/>
        <v>19</v>
      </c>
      <c r="B21" t="s">
        <v>8</v>
      </c>
      <c r="C21" t="s">
        <v>10</v>
      </c>
      <c r="D21" t="s">
        <v>14</v>
      </c>
      <c r="E21">
        <v>0.63200000000000001</v>
      </c>
      <c r="F21">
        <v>2.8000000000000001E-2</v>
      </c>
      <c r="G21">
        <v>0.625</v>
      </c>
      <c r="H21">
        <f>+IF(F21&gt;=0.035,1,0)</f>
        <v>0</v>
      </c>
      <c r="I21">
        <f t="shared" si="0"/>
        <v>0</v>
      </c>
      <c r="M21" t="s">
        <v>8</v>
      </c>
      <c r="N21" t="s">
        <v>10</v>
      </c>
      <c r="O21" t="s">
        <v>14</v>
      </c>
      <c r="P21">
        <v>0.73299999999999998</v>
      </c>
      <c r="Q21">
        <v>0.02</v>
      </c>
      <c r="R21">
        <v>0.76200000000000001</v>
      </c>
      <c r="S21">
        <f>+IF(Q21&gt;=0.035,1,0)</f>
        <v>0</v>
      </c>
      <c r="T21" t="b">
        <f t="shared" si="1"/>
        <v>1</v>
      </c>
    </row>
    <row r="22" spans="1:20" s="1" customFormat="1" x14ac:dyDescent="0.45">
      <c r="A22" s="1">
        <f t="shared" si="2"/>
        <v>20</v>
      </c>
      <c r="B22" s="1" t="s">
        <v>8</v>
      </c>
      <c r="C22" s="1" t="s">
        <v>10</v>
      </c>
      <c r="D22" s="1" t="s">
        <v>15</v>
      </c>
      <c r="E22" s="1">
        <v>0.623</v>
      </c>
      <c r="F22" s="1">
        <v>2.3E-2</v>
      </c>
      <c r="G22" s="1">
        <v>0.623</v>
      </c>
      <c r="H22" s="1">
        <f>+IF(F22&gt;=0.035,1,0)</f>
        <v>0</v>
      </c>
      <c r="I22" s="1">
        <f t="shared" si="0"/>
        <v>1</v>
      </c>
      <c r="M22" s="1" t="s">
        <v>8</v>
      </c>
      <c r="N22" s="1" t="s">
        <v>10</v>
      </c>
      <c r="O22" s="1" t="s">
        <v>15</v>
      </c>
      <c r="P22" s="1">
        <v>0.72599999999999998</v>
      </c>
      <c r="Q22" s="1">
        <v>1.2E-2</v>
      </c>
      <c r="R22" s="1">
        <v>0.74099999999999999</v>
      </c>
      <c r="S22" s="1">
        <f>+IF(Q22&gt;=0.035,1,0)</f>
        <v>0</v>
      </c>
      <c r="T22" s="1" t="b">
        <f t="shared" si="1"/>
        <v>1</v>
      </c>
    </row>
    <row r="23" spans="1:20" x14ac:dyDescent="0.45">
      <c r="A23">
        <f t="shared" si="2"/>
        <v>21</v>
      </c>
      <c r="B23" t="s">
        <v>8</v>
      </c>
      <c r="C23" t="s">
        <v>11</v>
      </c>
      <c r="D23" t="s">
        <v>12</v>
      </c>
      <c r="E23">
        <v>0.63900000000000001</v>
      </c>
      <c r="F23">
        <v>8.9999999999999993E-3</v>
      </c>
      <c r="G23">
        <v>0.61099999999999999</v>
      </c>
      <c r="H23">
        <f>+IF(F23&gt;=0.035,1,0)</f>
        <v>0</v>
      </c>
      <c r="I23">
        <f t="shared" si="0"/>
        <v>0</v>
      </c>
      <c r="M23" t="s">
        <v>8</v>
      </c>
      <c r="N23" t="s">
        <v>11</v>
      </c>
      <c r="O23" t="s">
        <v>12</v>
      </c>
      <c r="P23">
        <v>0.67700000000000005</v>
      </c>
      <c r="Q23">
        <v>1.2E-2</v>
      </c>
      <c r="R23">
        <v>0.66100000000000003</v>
      </c>
      <c r="S23">
        <f>+IF(Q23&gt;=0.035,1,0)</f>
        <v>0</v>
      </c>
      <c r="T23" t="b">
        <f t="shared" si="1"/>
        <v>1</v>
      </c>
    </row>
    <row r="24" spans="1:20" x14ac:dyDescent="0.45">
      <c r="A24">
        <f t="shared" si="2"/>
        <v>22</v>
      </c>
      <c r="B24" t="s">
        <v>8</v>
      </c>
      <c r="C24" t="s">
        <v>11</v>
      </c>
      <c r="D24" t="s">
        <v>13</v>
      </c>
      <c r="E24">
        <v>0.52800000000000002</v>
      </c>
      <c r="F24">
        <v>6.0000000000000001E-3</v>
      </c>
      <c r="G24">
        <v>0.49399999999999999</v>
      </c>
      <c r="H24">
        <f>+IF(F24&gt;=0.035,1,0)</f>
        <v>0</v>
      </c>
      <c r="I24">
        <f t="shared" si="0"/>
        <v>0</v>
      </c>
      <c r="M24" t="s">
        <v>8</v>
      </c>
      <c r="N24" t="s">
        <v>11</v>
      </c>
      <c r="O24" t="s">
        <v>13</v>
      </c>
      <c r="P24">
        <v>0.68600000000000005</v>
      </c>
      <c r="Q24">
        <v>1.4E-2</v>
      </c>
      <c r="R24">
        <v>0.66900000000000004</v>
      </c>
      <c r="S24">
        <f>+IF(Q24&gt;=0.035,1,0)</f>
        <v>0</v>
      </c>
      <c r="T24" t="b">
        <f t="shared" si="1"/>
        <v>1</v>
      </c>
    </row>
    <row r="25" spans="1:20" x14ac:dyDescent="0.45">
      <c r="A25">
        <f t="shared" si="2"/>
        <v>23</v>
      </c>
      <c r="B25" s="5" t="s">
        <v>8</v>
      </c>
      <c r="C25" s="5" t="s">
        <v>11</v>
      </c>
      <c r="D25" s="5" t="s">
        <v>14</v>
      </c>
      <c r="E25" s="5">
        <v>0.54100000000000004</v>
      </c>
      <c r="F25" s="5">
        <v>0.04</v>
      </c>
      <c r="G25" s="5">
        <v>0.497</v>
      </c>
      <c r="H25" s="5">
        <f>+IF(F25&gt;=0.035,1,0)</f>
        <v>1</v>
      </c>
      <c r="I25">
        <f t="shared" si="0"/>
        <v>0</v>
      </c>
      <c r="M25" t="s">
        <v>8</v>
      </c>
      <c r="N25" t="s">
        <v>11</v>
      </c>
      <c r="O25" t="s">
        <v>14</v>
      </c>
      <c r="P25">
        <v>0.68799999999999994</v>
      </c>
      <c r="Q25">
        <v>1.6E-2</v>
      </c>
      <c r="R25">
        <v>0.67700000000000005</v>
      </c>
      <c r="S25">
        <f>+IF(Q25&gt;=0.035,1,0)</f>
        <v>0</v>
      </c>
      <c r="T25" t="b">
        <f t="shared" si="1"/>
        <v>1</v>
      </c>
    </row>
    <row r="26" spans="1:20" x14ac:dyDescent="0.45">
      <c r="A26">
        <f t="shared" si="2"/>
        <v>24</v>
      </c>
      <c r="B26" t="s">
        <v>8</v>
      </c>
      <c r="C26" t="s">
        <v>11</v>
      </c>
      <c r="D26" t="s">
        <v>15</v>
      </c>
      <c r="E26">
        <v>0.53400000000000003</v>
      </c>
      <c r="F26">
        <v>2.1000000000000001E-2</v>
      </c>
      <c r="G26">
        <v>0.495</v>
      </c>
      <c r="H26">
        <f>+IF(F26&gt;=0.035,1,0)</f>
        <v>0</v>
      </c>
      <c r="I26">
        <f t="shared" si="0"/>
        <v>0</v>
      </c>
      <c r="M26" t="s">
        <v>8</v>
      </c>
      <c r="N26" t="s">
        <v>11</v>
      </c>
      <c r="O26" t="s">
        <v>15</v>
      </c>
      <c r="P26">
        <v>0.68700000000000006</v>
      </c>
      <c r="Q26">
        <v>1.0999999999999999E-2</v>
      </c>
      <c r="R26">
        <v>0.67300000000000004</v>
      </c>
      <c r="S26">
        <f>+IF(Q26&gt;=0.035,1,0)</f>
        <v>0</v>
      </c>
      <c r="T26" t="b">
        <f t="shared" si="1"/>
        <v>1</v>
      </c>
    </row>
    <row r="27" spans="1:20" x14ac:dyDescent="0.45">
      <c r="A27">
        <f t="shared" si="2"/>
        <v>25</v>
      </c>
      <c r="B27" t="s">
        <v>9</v>
      </c>
      <c r="C27" t="s">
        <v>10</v>
      </c>
      <c r="D27" t="s">
        <v>12</v>
      </c>
      <c r="E27">
        <v>0.77200000000000002</v>
      </c>
      <c r="F27">
        <v>1.4E-2</v>
      </c>
      <c r="G27">
        <v>0.749</v>
      </c>
      <c r="H27">
        <f>+IF(F27&gt;=0.035,1,0)</f>
        <v>0</v>
      </c>
      <c r="I27">
        <f t="shared" si="0"/>
        <v>0</v>
      </c>
      <c r="M27" t="s">
        <v>9</v>
      </c>
      <c r="N27" t="s">
        <v>10</v>
      </c>
      <c r="O27" t="s">
        <v>12</v>
      </c>
      <c r="P27">
        <v>0.66700000000000004</v>
      </c>
      <c r="Q27">
        <v>2.4E-2</v>
      </c>
      <c r="R27">
        <v>0.66</v>
      </c>
      <c r="S27">
        <f>+IF(Q27&gt;=0.035,1,0)</f>
        <v>0</v>
      </c>
      <c r="T27" t="b">
        <f t="shared" si="1"/>
        <v>0</v>
      </c>
    </row>
    <row r="28" spans="1:20" x14ac:dyDescent="0.45">
      <c r="A28">
        <f t="shared" si="2"/>
        <v>26</v>
      </c>
      <c r="B28" t="s">
        <v>9</v>
      </c>
      <c r="C28" t="s">
        <v>10</v>
      </c>
      <c r="D28" t="s">
        <v>13</v>
      </c>
      <c r="E28">
        <v>0.77300000000000002</v>
      </c>
      <c r="F28">
        <v>1.2E-2</v>
      </c>
      <c r="G28">
        <v>0.753</v>
      </c>
      <c r="H28">
        <f>+IF(F28&gt;=0.035,1,0)</f>
        <v>0</v>
      </c>
      <c r="I28">
        <f t="shared" si="0"/>
        <v>0</v>
      </c>
      <c r="M28" t="s">
        <v>9</v>
      </c>
      <c r="N28" t="s">
        <v>10</v>
      </c>
      <c r="O28" t="s">
        <v>13</v>
      </c>
      <c r="P28">
        <v>0.66600000000000004</v>
      </c>
      <c r="Q28">
        <v>0.01</v>
      </c>
      <c r="R28">
        <v>0.65100000000000002</v>
      </c>
      <c r="S28">
        <f>+IF(Q28&gt;=0.035,1,0)</f>
        <v>0</v>
      </c>
      <c r="T28" t="b">
        <f t="shared" si="1"/>
        <v>0</v>
      </c>
    </row>
    <row r="29" spans="1:20" x14ac:dyDescent="0.45">
      <c r="A29">
        <f t="shared" si="2"/>
        <v>27</v>
      </c>
      <c r="B29" s="5" t="s">
        <v>9</v>
      </c>
      <c r="C29" s="5" t="s">
        <v>10</v>
      </c>
      <c r="D29" s="5" t="s">
        <v>14</v>
      </c>
      <c r="E29" s="5">
        <v>0.57399999999999995</v>
      </c>
      <c r="F29" s="5">
        <v>3.5999999999999997E-2</v>
      </c>
      <c r="G29" s="5">
        <v>0.51600000000000001</v>
      </c>
      <c r="H29" s="5">
        <f>+IF(F29&gt;=0.035,1,0)</f>
        <v>1</v>
      </c>
      <c r="I29">
        <f t="shared" si="0"/>
        <v>0</v>
      </c>
      <c r="M29" s="5" t="s">
        <v>9</v>
      </c>
      <c r="N29" s="5" t="s">
        <v>10</v>
      </c>
      <c r="O29" s="5" t="s">
        <v>14</v>
      </c>
      <c r="P29" s="5">
        <v>0.71199999999999997</v>
      </c>
      <c r="Q29" s="5">
        <v>4.1000000000000002E-2</v>
      </c>
      <c r="R29" s="5">
        <v>0.73099999999999998</v>
      </c>
      <c r="S29">
        <f>+IF(Q29&gt;=0.035,1,0)</f>
        <v>1</v>
      </c>
      <c r="T29" t="b">
        <f t="shared" si="1"/>
        <v>1</v>
      </c>
    </row>
    <row r="30" spans="1:20" x14ac:dyDescent="0.45">
      <c r="A30">
        <f t="shared" si="2"/>
        <v>28</v>
      </c>
      <c r="B30" t="s">
        <v>9</v>
      </c>
      <c r="C30" t="s">
        <v>10</v>
      </c>
      <c r="D30" t="s">
        <v>15</v>
      </c>
      <c r="E30">
        <v>0.65800000000000003</v>
      </c>
      <c r="F30">
        <v>2.1999999999999999E-2</v>
      </c>
      <c r="G30">
        <v>0.61199999999999999</v>
      </c>
      <c r="H30">
        <f>+IF(F30&gt;=0.035,1,0)</f>
        <v>0</v>
      </c>
      <c r="I30">
        <f t="shared" si="0"/>
        <v>1</v>
      </c>
      <c r="M30" t="s">
        <v>9</v>
      </c>
      <c r="N30" t="s">
        <v>10</v>
      </c>
      <c r="O30" t="s">
        <v>15</v>
      </c>
      <c r="P30">
        <v>0.68799999999999994</v>
      </c>
      <c r="Q30">
        <v>2.3E-2</v>
      </c>
      <c r="R30">
        <v>0.68899999999999995</v>
      </c>
      <c r="S30">
        <f>+IF(Q30&gt;=0.035,1,0)</f>
        <v>0</v>
      </c>
      <c r="T30" t="b">
        <f t="shared" si="1"/>
        <v>1</v>
      </c>
    </row>
    <row r="31" spans="1:20" x14ac:dyDescent="0.45">
      <c r="A31">
        <f t="shared" si="2"/>
        <v>29</v>
      </c>
      <c r="B31" t="s">
        <v>9</v>
      </c>
      <c r="C31" t="s">
        <v>11</v>
      </c>
      <c r="D31" t="s">
        <v>12</v>
      </c>
      <c r="E31">
        <v>0.72599999999999998</v>
      </c>
      <c r="F31">
        <v>2.3E-2</v>
      </c>
      <c r="G31">
        <v>0.70799999999999996</v>
      </c>
      <c r="H31">
        <f>+IF(F31&gt;=0.035,1,0)</f>
        <v>0</v>
      </c>
      <c r="I31">
        <f t="shared" si="0"/>
        <v>0</v>
      </c>
      <c r="M31" t="s">
        <v>9</v>
      </c>
      <c r="N31" t="s">
        <v>11</v>
      </c>
      <c r="O31" t="s">
        <v>12</v>
      </c>
      <c r="P31">
        <v>0.64400000000000002</v>
      </c>
      <c r="Q31">
        <v>2.1999999999999999E-2</v>
      </c>
      <c r="R31">
        <v>0.64400000000000002</v>
      </c>
      <c r="S31">
        <f>+IF(Q31&gt;=0.035,1,0)</f>
        <v>0</v>
      </c>
      <c r="T31" t="b">
        <f t="shared" si="1"/>
        <v>0</v>
      </c>
    </row>
    <row r="32" spans="1:20" x14ac:dyDescent="0.45">
      <c r="A32">
        <f t="shared" si="2"/>
        <v>30</v>
      </c>
      <c r="B32" t="s">
        <v>9</v>
      </c>
      <c r="C32" t="s">
        <v>11</v>
      </c>
      <c r="D32" t="s">
        <v>13</v>
      </c>
      <c r="E32">
        <v>0.71499999999999997</v>
      </c>
      <c r="F32">
        <v>3.3000000000000002E-2</v>
      </c>
      <c r="G32">
        <v>0.69</v>
      </c>
      <c r="H32">
        <f>+IF(F32&gt;=0.035,1,0)</f>
        <v>0</v>
      </c>
      <c r="I32">
        <f t="shared" si="0"/>
        <v>0</v>
      </c>
      <c r="M32" t="s">
        <v>9</v>
      </c>
      <c r="N32" t="s">
        <v>11</v>
      </c>
      <c r="O32" t="s">
        <v>13</v>
      </c>
      <c r="P32">
        <v>0.63700000000000001</v>
      </c>
      <c r="Q32">
        <v>1.7000000000000001E-2</v>
      </c>
      <c r="R32">
        <v>0.63600000000000001</v>
      </c>
      <c r="S32">
        <f>+IF(Q32&gt;=0.035,1,0)</f>
        <v>0</v>
      </c>
      <c r="T32" t="b">
        <f t="shared" si="1"/>
        <v>0</v>
      </c>
    </row>
    <row r="33" spans="1:20" x14ac:dyDescent="0.45">
      <c r="A33">
        <f t="shared" si="2"/>
        <v>31</v>
      </c>
      <c r="B33" s="5" t="s">
        <v>9</v>
      </c>
      <c r="C33" s="5" t="s">
        <v>11</v>
      </c>
      <c r="D33" s="5" t="s">
        <v>14</v>
      </c>
      <c r="E33" s="5">
        <v>0.47499999999999998</v>
      </c>
      <c r="F33" s="5">
        <v>0.04</v>
      </c>
      <c r="G33" s="5">
        <v>0.435</v>
      </c>
      <c r="H33" s="5">
        <f>+IF(F33&gt;=0.035,1,0)</f>
        <v>1</v>
      </c>
      <c r="I33">
        <f t="shared" si="0"/>
        <v>0</v>
      </c>
      <c r="M33" s="5" t="s">
        <v>9</v>
      </c>
      <c r="N33" s="5" t="s">
        <v>11</v>
      </c>
      <c r="O33" s="5" t="s">
        <v>14</v>
      </c>
      <c r="P33" s="5">
        <v>0.71799999999999997</v>
      </c>
      <c r="Q33" s="5">
        <v>4.1000000000000002E-2</v>
      </c>
      <c r="R33" s="5">
        <v>0.72299999999999998</v>
      </c>
      <c r="S33">
        <f>+IF(Q33&gt;=0.035,1,0)</f>
        <v>1</v>
      </c>
      <c r="T33" t="b">
        <f t="shared" si="1"/>
        <v>1</v>
      </c>
    </row>
    <row r="34" spans="1:20" x14ac:dyDescent="0.45">
      <c r="A34">
        <f t="shared" si="2"/>
        <v>32</v>
      </c>
      <c r="B34" s="5" t="s">
        <v>9</v>
      </c>
      <c r="C34" s="5" t="s">
        <v>11</v>
      </c>
      <c r="D34" s="5" t="s">
        <v>15</v>
      </c>
      <c r="E34" s="5">
        <v>0.56999999999999995</v>
      </c>
      <c r="F34" s="5">
        <v>3.5000000000000003E-2</v>
      </c>
      <c r="G34" s="5">
        <v>0.53400000000000003</v>
      </c>
      <c r="H34" s="5">
        <f>+IF(F34&gt;=0.035,1,0)</f>
        <v>1</v>
      </c>
      <c r="I34">
        <f t="shared" si="0"/>
        <v>0</v>
      </c>
      <c r="M34" t="s">
        <v>9</v>
      </c>
      <c r="N34" t="s">
        <v>11</v>
      </c>
      <c r="O34" t="s">
        <v>15</v>
      </c>
      <c r="P34">
        <v>0.67500000000000004</v>
      </c>
      <c r="Q34">
        <v>2.1000000000000001E-2</v>
      </c>
      <c r="R34">
        <v>0.67700000000000005</v>
      </c>
      <c r="S34">
        <f>+IF(Q34&gt;=0.035,1,0)</f>
        <v>0</v>
      </c>
      <c r="T34" t="b">
        <f t="shared" si="1"/>
        <v>1</v>
      </c>
    </row>
    <row r="35" spans="1:20" x14ac:dyDescent="0.45">
      <c r="A35">
        <f t="shared" si="2"/>
        <v>33</v>
      </c>
      <c r="B35" t="s">
        <v>17</v>
      </c>
      <c r="C35" t="s">
        <v>10</v>
      </c>
      <c r="D35" t="s">
        <v>12</v>
      </c>
      <c r="E35">
        <v>0.79200000000000004</v>
      </c>
      <c r="F35">
        <v>1.4999999999999999E-2</v>
      </c>
      <c r="G35">
        <v>0.76300000000000001</v>
      </c>
      <c r="H35">
        <f>+IF(F35&gt;=0.035,1,0)</f>
        <v>0</v>
      </c>
      <c r="I35">
        <f t="shared" si="0"/>
        <v>0</v>
      </c>
      <c r="M35" t="s">
        <v>17</v>
      </c>
      <c r="N35" t="s">
        <v>10</v>
      </c>
      <c r="O35" t="s">
        <v>12</v>
      </c>
      <c r="P35">
        <v>0.77700000000000002</v>
      </c>
      <c r="Q35">
        <v>1.0999999999999999E-2</v>
      </c>
      <c r="R35">
        <v>0.78700000000000003</v>
      </c>
      <c r="S35">
        <f>+IF(Q35&gt;=0.035,1,0)</f>
        <v>0</v>
      </c>
      <c r="T35" t="b">
        <f t="shared" si="1"/>
        <v>1</v>
      </c>
    </row>
    <row r="36" spans="1:20" x14ac:dyDescent="0.45">
      <c r="A36">
        <f t="shared" si="2"/>
        <v>34</v>
      </c>
      <c r="B36" t="s">
        <v>17</v>
      </c>
      <c r="C36" t="s">
        <v>10</v>
      </c>
      <c r="D36" t="s">
        <v>13</v>
      </c>
      <c r="E36">
        <v>0.78900000000000003</v>
      </c>
      <c r="F36">
        <v>1.2999999999999999E-2</v>
      </c>
      <c r="G36">
        <v>0.76500000000000001</v>
      </c>
      <c r="H36">
        <f>+IF(F36&gt;=0.035,1,0)</f>
        <v>0</v>
      </c>
      <c r="I36">
        <f t="shared" si="0"/>
        <v>0</v>
      </c>
      <c r="M36" t="s">
        <v>17</v>
      </c>
      <c r="N36" t="s">
        <v>10</v>
      </c>
      <c r="O36" t="s">
        <v>13</v>
      </c>
      <c r="P36">
        <v>0.77600000000000002</v>
      </c>
      <c r="Q36">
        <v>7.0000000000000001E-3</v>
      </c>
      <c r="R36">
        <v>0.77100000000000002</v>
      </c>
      <c r="S36">
        <f>+IF(Q36&gt;=0.035,1,0)</f>
        <v>0</v>
      </c>
      <c r="T36" t="b">
        <f t="shared" si="1"/>
        <v>1</v>
      </c>
    </row>
    <row r="37" spans="1:20" x14ac:dyDescent="0.45">
      <c r="A37">
        <f t="shared" si="2"/>
        <v>35</v>
      </c>
      <c r="B37" t="s">
        <v>17</v>
      </c>
      <c r="C37" t="s">
        <v>10</v>
      </c>
      <c r="D37" t="s">
        <v>14</v>
      </c>
      <c r="E37">
        <v>0.625</v>
      </c>
      <c r="F37">
        <v>2.8000000000000001E-2</v>
      </c>
      <c r="G37">
        <v>0.55200000000000005</v>
      </c>
      <c r="H37">
        <f>+IF(F37&gt;=0.035,1,0)</f>
        <v>0</v>
      </c>
      <c r="I37">
        <f t="shared" si="0"/>
        <v>0</v>
      </c>
      <c r="M37" t="s">
        <v>17</v>
      </c>
      <c r="N37" t="s">
        <v>10</v>
      </c>
      <c r="O37" t="s">
        <v>14</v>
      </c>
      <c r="P37">
        <v>0.60299999999999998</v>
      </c>
      <c r="Q37">
        <v>2.7E-2</v>
      </c>
      <c r="R37">
        <v>0.64600000000000002</v>
      </c>
      <c r="S37">
        <f>+IF(Q37&gt;=0.035,1,0)</f>
        <v>0</v>
      </c>
      <c r="T37" t="b">
        <f t="shared" si="1"/>
        <v>1</v>
      </c>
    </row>
    <row r="38" spans="1:20" s="1" customFormat="1" x14ac:dyDescent="0.45">
      <c r="A38" s="1">
        <f t="shared" si="2"/>
        <v>36</v>
      </c>
      <c r="B38" s="1" t="s">
        <v>17</v>
      </c>
      <c r="C38" s="1" t="s">
        <v>10</v>
      </c>
      <c r="D38" s="1" t="s">
        <v>15</v>
      </c>
      <c r="E38" s="1">
        <v>0.69699999999999995</v>
      </c>
      <c r="F38" s="1">
        <v>2.1000000000000001E-2</v>
      </c>
      <c r="G38" s="1">
        <v>0.64100000000000001</v>
      </c>
      <c r="H38" s="1">
        <f>+IF(F38&gt;=0.035,1,0)</f>
        <v>0</v>
      </c>
      <c r="I38" s="1">
        <f t="shared" si="0"/>
        <v>1</v>
      </c>
      <c r="M38" s="1" t="s">
        <v>17</v>
      </c>
      <c r="N38" s="1" t="s">
        <v>10</v>
      </c>
      <c r="O38" s="1" t="s">
        <v>15</v>
      </c>
      <c r="P38" s="1">
        <v>0.67800000000000005</v>
      </c>
      <c r="Q38" s="1">
        <v>1.4999999999999999E-2</v>
      </c>
      <c r="R38" s="1">
        <v>0.70299999999999996</v>
      </c>
      <c r="S38" s="1">
        <f>+IF(Q38&gt;=0.035,1,0)</f>
        <v>0</v>
      </c>
      <c r="T38" s="1" t="b">
        <f t="shared" si="1"/>
        <v>1</v>
      </c>
    </row>
    <row r="39" spans="1:20" x14ac:dyDescent="0.45">
      <c r="A39">
        <f t="shared" si="2"/>
        <v>37</v>
      </c>
      <c r="B39" t="s">
        <v>17</v>
      </c>
      <c r="C39" t="s">
        <v>18</v>
      </c>
      <c r="D39" t="s">
        <v>12</v>
      </c>
      <c r="E39">
        <v>0.79200000000000004</v>
      </c>
      <c r="F39">
        <v>1.4999999999999999E-2</v>
      </c>
      <c r="G39">
        <v>0.76300000000000001</v>
      </c>
      <c r="H39">
        <f>+IF(F39&gt;=0.035,1,0)</f>
        <v>0</v>
      </c>
      <c r="I39">
        <f t="shared" si="0"/>
        <v>0</v>
      </c>
      <c r="M39" t="s">
        <v>17</v>
      </c>
      <c r="N39" t="s">
        <v>18</v>
      </c>
      <c r="O39" t="s">
        <v>12</v>
      </c>
      <c r="P39">
        <v>0.77700000000000002</v>
      </c>
      <c r="Q39">
        <v>1.0999999999999999E-2</v>
      </c>
      <c r="R39">
        <v>0.78700000000000003</v>
      </c>
      <c r="S39">
        <f>+IF(Q39&gt;=0.035,1,0)</f>
        <v>0</v>
      </c>
      <c r="T39" t="b">
        <f t="shared" si="1"/>
        <v>1</v>
      </c>
    </row>
    <row r="40" spans="1:20" x14ac:dyDescent="0.45">
      <c r="A40">
        <f t="shared" si="2"/>
        <v>38</v>
      </c>
      <c r="B40" t="s">
        <v>17</v>
      </c>
      <c r="C40" t="s">
        <v>18</v>
      </c>
      <c r="D40" t="s">
        <v>13</v>
      </c>
      <c r="E40">
        <v>0.78900000000000003</v>
      </c>
      <c r="F40">
        <v>1.2999999999999999E-2</v>
      </c>
      <c r="G40">
        <v>0.76500000000000001</v>
      </c>
      <c r="H40">
        <f>+IF(F40&gt;=0.035,1,0)</f>
        <v>0</v>
      </c>
      <c r="I40">
        <f t="shared" si="0"/>
        <v>0</v>
      </c>
      <c r="M40" t="s">
        <v>17</v>
      </c>
      <c r="N40" t="s">
        <v>18</v>
      </c>
      <c r="O40" t="s">
        <v>13</v>
      </c>
      <c r="P40">
        <v>0.77600000000000002</v>
      </c>
      <c r="Q40">
        <v>7.0000000000000001E-3</v>
      </c>
      <c r="R40">
        <v>0.77100000000000002</v>
      </c>
      <c r="S40">
        <f>+IF(Q40&gt;=0.035,1,0)</f>
        <v>0</v>
      </c>
      <c r="T40" t="b">
        <f t="shared" si="1"/>
        <v>1</v>
      </c>
    </row>
    <row r="41" spans="1:20" x14ac:dyDescent="0.45">
      <c r="A41">
        <f t="shared" si="2"/>
        <v>39</v>
      </c>
      <c r="B41" t="s">
        <v>17</v>
      </c>
      <c r="C41" t="s">
        <v>18</v>
      </c>
      <c r="D41" t="s">
        <v>14</v>
      </c>
      <c r="E41">
        <v>0.625</v>
      </c>
      <c r="F41">
        <v>2.8000000000000001E-2</v>
      </c>
      <c r="G41">
        <v>0.55200000000000005</v>
      </c>
      <c r="H41">
        <f>+IF(F41&gt;=0.035,1,0)</f>
        <v>0</v>
      </c>
      <c r="I41">
        <f t="shared" si="0"/>
        <v>0</v>
      </c>
      <c r="M41" t="s">
        <v>17</v>
      </c>
      <c r="N41" t="s">
        <v>18</v>
      </c>
      <c r="O41" t="s">
        <v>14</v>
      </c>
      <c r="P41">
        <v>0.60299999999999998</v>
      </c>
      <c r="Q41">
        <v>2.7E-2</v>
      </c>
      <c r="R41">
        <v>0.64600000000000002</v>
      </c>
      <c r="S41">
        <f>+IF(Q41&gt;=0.035,1,0)</f>
        <v>0</v>
      </c>
      <c r="T41" t="b">
        <f t="shared" si="1"/>
        <v>1</v>
      </c>
    </row>
    <row r="42" spans="1:20" x14ac:dyDescent="0.45">
      <c r="A42">
        <f t="shared" si="2"/>
        <v>40</v>
      </c>
      <c r="B42" t="s">
        <v>17</v>
      </c>
      <c r="C42" t="s">
        <v>18</v>
      </c>
      <c r="D42" t="s">
        <v>15</v>
      </c>
      <c r="E42">
        <v>0.69699999999999995</v>
      </c>
      <c r="F42">
        <v>2.1000000000000001E-2</v>
      </c>
      <c r="G42">
        <v>0.64100000000000001</v>
      </c>
      <c r="H42">
        <f>+IF(F42&gt;=0.035,1,0)</f>
        <v>0</v>
      </c>
      <c r="I42">
        <f t="shared" si="0"/>
        <v>0</v>
      </c>
      <c r="M42" t="s">
        <v>17</v>
      </c>
      <c r="N42" t="s">
        <v>18</v>
      </c>
      <c r="O42" t="s">
        <v>15</v>
      </c>
      <c r="P42">
        <v>0.67800000000000005</v>
      </c>
      <c r="Q42">
        <v>1.4999999999999999E-2</v>
      </c>
      <c r="R42">
        <v>0.70299999999999996</v>
      </c>
      <c r="S42">
        <f>+IF(Q42&gt;=0.035,1,0)</f>
        <v>0</v>
      </c>
      <c r="T42" t="b">
        <f t="shared" si="1"/>
        <v>1</v>
      </c>
    </row>
    <row r="43" spans="1:20" x14ac:dyDescent="0.45">
      <c r="A43">
        <f t="shared" si="2"/>
        <v>41</v>
      </c>
      <c r="B43" t="s">
        <v>19</v>
      </c>
      <c r="C43" t="s">
        <v>10</v>
      </c>
      <c r="D43" t="s">
        <v>12</v>
      </c>
      <c r="E43">
        <v>0.80800000000000005</v>
      </c>
      <c r="F43">
        <v>1.4E-2</v>
      </c>
      <c r="G43">
        <v>0.77900000000000003</v>
      </c>
      <c r="H43">
        <f>+IF(F43&gt;=0.035,1,0)</f>
        <v>0</v>
      </c>
      <c r="I43">
        <f t="shared" si="0"/>
        <v>0</v>
      </c>
      <c r="M43" t="s">
        <v>19</v>
      </c>
      <c r="N43" t="s">
        <v>10</v>
      </c>
      <c r="O43" t="s">
        <v>12</v>
      </c>
      <c r="P43">
        <v>0.79300000000000004</v>
      </c>
      <c r="Q43">
        <v>1.7999999999999999E-2</v>
      </c>
      <c r="R43">
        <v>0.81599999999999995</v>
      </c>
      <c r="S43">
        <f>+IF(Q43&gt;=0.035,1,0)</f>
        <v>0</v>
      </c>
      <c r="T43" t="b">
        <f t="shared" si="1"/>
        <v>1</v>
      </c>
    </row>
    <row r="44" spans="1:20" x14ac:dyDescent="0.45">
      <c r="A44">
        <f t="shared" si="2"/>
        <v>42</v>
      </c>
      <c r="B44" t="s">
        <v>19</v>
      </c>
      <c r="C44" t="s">
        <v>10</v>
      </c>
      <c r="D44" t="s">
        <v>13</v>
      </c>
      <c r="E44">
        <v>0.84199999999999997</v>
      </c>
      <c r="F44">
        <v>2.5000000000000001E-2</v>
      </c>
      <c r="G44">
        <v>0.82699999999999996</v>
      </c>
      <c r="H44">
        <f>+IF(F44&gt;=0.035,1,0)</f>
        <v>0</v>
      </c>
      <c r="I44">
        <f t="shared" si="0"/>
        <v>0</v>
      </c>
      <c r="M44" t="s">
        <v>19</v>
      </c>
      <c r="N44" t="s">
        <v>10</v>
      </c>
      <c r="O44" t="s">
        <v>13</v>
      </c>
      <c r="P44">
        <v>0.82099999999999995</v>
      </c>
      <c r="Q44">
        <v>3.1E-2</v>
      </c>
      <c r="R44">
        <v>0.85899999999999999</v>
      </c>
      <c r="S44">
        <f>+IF(Q44&gt;=0.035,1,0)</f>
        <v>0</v>
      </c>
      <c r="T44" t="b">
        <f t="shared" si="1"/>
        <v>1</v>
      </c>
    </row>
    <row r="45" spans="1:20" x14ac:dyDescent="0.45">
      <c r="A45">
        <f t="shared" si="2"/>
        <v>43</v>
      </c>
      <c r="B45" t="s">
        <v>19</v>
      </c>
      <c r="C45" t="s">
        <v>10</v>
      </c>
      <c r="D45" t="s">
        <v>14</v>
      </c>
      <c r="E45">
        <v>0.61699999999999999</v>
      </c>
      <c r="F45">
        <v>2.7E-2</v>
      </c>
      <c r="G45">
        <v>0.53600000000000003</v>
      </c>
      <c r="H45">
        <f>+IF(F45&gt;=0.035,1,0)</f>
        <v>0</v>
      </c>
      <c r="I45">
        <f t="shared" si="0"/>
        <v>0</v>
      </c>
      <c r="M45" t="s">
        <v>19</v>
      </c>
      <c r="N45" t="s">
        <v>10</v>
      </c>
      <c r="O45" t="s">
        <v>14</v>
      </c>
      <c r="P45">
        <v>0.60099999999999998</v>
      </c>
      <c r="Q45">
        <v>3.1E-2</v>
      </c>
      <c r="R45">
        <v>0.63300000000000001</v>
      </c>
      <c r="S45">
        <f>+IF(Q45&gt;=0.035,1,0)</f>
        <v>0</v>
      </c>
      <c r="T45" t="b">
        <f t="shared" si="1"/>
        <v>1</v>
      </c>
    </row>
    <row r="46" spans="1:20" s="1" customFormat="1" x14ac:dyDescent="0.45">
      <c r="A46" s="1">
        <f t="shared" si="2"/>
        <v>44</v>
      </c>
      <c r="B46" s="1" t="s">
        <v>19</v>
      </c>
      <c r="C46" s="1" t="s">
        <v>10</v>
      </c>
      <c r="D46" s="1" t="s">
        <v>15</v>
      </c>
      <c r="E46" s="1">
        <v>0.71199999999999997</v>
      </c>
      <c r="F46" s="1">
        <v>1.6E-2</v>
      </c>
      <c r="G46" s="1">
        <v>0.65100000000000002</v>
      </c>
      <c r="H46" s="1">
        <f>+IF(F46&gt;=0.035,1,0)</f>
        <v>0</v>
      </c>
      <c r="I46" s="1">
        <f t="shared" si="0"/>
        <v>1</v>
      </c>
      <c r="M46" s="1" t="s">
        <v>19</v>
      </c>
      <c r="N46" s="1" t="s">
        <v>10</v>
      </c>
      <c r="O46" s="1" t="s">
        <v>15</v>
      </c>
      <c r="P46" s="1">
        <v>0.69399999999999995</v>
      </c>
      <c r="Q46" s="1">
        <v>2.7E-2</v>
      </c>
      <c r="R46" s="1">
        <v>0.72899999999999998</v>
      </c>
      <c r="S46" s="1">
        <f>+IF(Q46&gt;=0.035,1,0)</f>
        <v>0</v>
      </c>
      <c r="T46" s="1" t="b">
        <f t="shared" si="1"/>
        <v>1</v>
      </c>
    </row>
    <row r="47" spans="1:20" x14ac:dyDescent="0.45">
      <c r="A47">
        <f t="shared" si="2"/>
        <v>45</v>
      </c>
      <c r="B47" t="s">
        <v>19</v>
      </c>
      <c r="C47" t="s">
        <v>18</v>
      </c>
      <c r="D47" t="s">
        <v>12</v>
      </c>
      <c r="E47">
        <v>0.80800000000000005</v>
      </c>
      <c r="F47">
        <v>1.4E-2</v>
      </c>
      <c r="G47">
        <v>0.77900000000000003</v>
      </c>
      <c r="H47">
        <f>+IF(F47&gt;=0.035,1,0)</f>
        <v>0</v>
      </c>
      <c r="I47">
        <f t="shared" si="0"/>
        <v>0</v>
      </c>
      <c r="M47" t="s">
        <v>19</v>
      </c>
      <c r="N47" t="s">
        <v>18</v>
      </c>
      <c r="O47" t="s">
        <v>12</v>
      </c>
      <c r="P47">
        <v>0.79300000000000004</v>
      </c>
      <c r="Q47">
        <v>1.7999999999999999E-2</v>
      </c>
      <c r="R47">
        <v>0.81599999999999995</v>
      </c>
      <c r="S47">
        <f>+IF(Q47&gt;=0.035,1,0)</f>
        <v>0</v>
      </c>
      <c r="T47" t="b">
        <f t="shared" si="1"/>
        <v>1</v>
      </c>
    </row>
    <row r="48" spans="1:20" x14ac:dyDescent="0.45">
      <c r="A48">
        <f t="shared" si="2"/>
        <v>46</v>
      </c>
      <c r="B48" t="s">
        <v>19</v>
      </c>
      <c r="C48" t="s">
        <v>18</v>
      </c>
      <c r="D48" t="s">
        <v>13</v>
      </c>
      <c r="E48">
        <v>0.84199999999999997</v>
      </c>
      <c r="F48">
        <v>2.5000000000000001E-2</v>
      </c>
      <c r="G48">
        <v>0.82699999999999996</v>
      </c>
      <c r="H48">
        <f>+IF(F48&gt;=0.035,1,0)</f>
        <v>0</v>
      </c>
      <c r="I48">
        <f t="shared" si="0"/>
        <v>0</v>
      </c>
      <c r="M48" t="s">
        <v>19</v>
      </c>
      <c r="N48" t="s">
        <v>18</v>
      </c>
      <c r="O48" t="s">
        <v>13</v>
      </c>
      <c r="P48">
        <v>0.82099999999999995</v>
      </c>
      <c r="Q48">
        <v>3.1E-2</v>
      </c>
      <c r="R48">
        <v>0.85899999999999999</v>
      </c>
      <c r="S48">
        <f>+IF(Q48&gt;=0.035,1,0)</f>
        <v>0</v>
      </c>
      <c r="T48" t="b">
        <f t="shared" si="1"/>
        <v>1</v>
      </c>
    </row>
    <row r="49" spans="1:20" x14ac:dyDescent="0.45">
      <c r="A49">
        <f t="shared" si="2"/>
        <v>47</v>
      </c>
      <c r="B49" t="s">
        <v>19</v>
      </c>
      <c r="C49" t="s">
        <v>18</v>
      </c>
      <c r="D49" t="s">
        <v>14</v>
      </c>
      <c r="E49">
        <v>0.61699999999999999</v>
      </c>
      <c r="F49">
        <v>2.7E-2</v>
      </c>
      <c r="G49">
        <v>0.53600000000000003</v>
      </c>
      <c r="H49">
        <f>+IF(F49&gt;=0.035,1,0)</f>
        <v>0</v>
      </c>
      <c r="I49">
        <f t="shared" si="0"/>
        <v>0</v>
      </c>
      <c r="M49" t="s">
        <v>19</v>
      </c>
      <c r="N49" t="s">
        <v>18</v>
      </c>
      <c r="O49" t="s">
        <v>14</v>
      </c>
      <c r="P49">
        <v>0.60099999999999998</v>
      </c>
      <c r="Q49">
        <v>3.1E-2</v>
      </c>
      <c r="R49">
        <v>0.63300000000000001</v>
      </c>
      <c r="S49">
        <f>+IF(Q49&gt;=0.035,1,0)</f>
        <v>0</v>
      </c>
      <c r="T49" t="b">
        <f t="shared" si="1"/>
        <v>1</v>
      </c>
    </row>
    <row r="50" spans="1:20" x14ac:dyDescent="0.45">
      <c r="A50">
        <f t="shared" si="2"/>
        <v>48</v>
      </c>
      <c r="B50" t="s">
        <v>19</v>
      </c>
      <c r="C50" t="s">
        <v>18</v>
      </c>
      <c r="D50" t="s">
        <v>15</v>
      </c>
      <c r="E50">
        <v>0.71199999999999997</v>
      </c>
      <c r="F50">
        <v>1.6E-2</v>
      </c>
      <c r="G50">
        <v>0.65100000000000002</v>
      </c>
      <c r="H50">
        <f>+IF(F50&gt;=0.035,1,0)</f>
        <v>0</v>
      </c>
      <c r="I50">
        <f t="shared" si="0"/>
        <v>0</v>
      </c>
      <c r="M50" t="s">
        <v>19</v>
      </c>
      <c r="N50" t="s">
        <v>18</v>
      </c>
      <c r="O50" t="s">
        <v>15</v>
      </c>
      <c r="P50">
        <v>0.69399999999999995</v>
      </c>
      <c r="Q50">
        <v>2.7E-2</v>
      </c>
      <c r="R50">
        <v>0.72899999999999998</v>
      </c>
      <c r="S50">
        <f>+IF(Q50&gt;=0.035,1,0)</f>
        <v>0</v>
      </c>
      <c r="T50" t="b">
        <f t="shared" si="1"/>
        <v>1</v>
      </c>
    </row>
    <row r="51" spans="1:20" x14ac:dyDescent="0.45">
      <c r="A51">
        <f t="shared" si="2"/>
        <v>49</v>
      </c>
      <c r="B51" t="s">
        <v>20</v>
      </c>
      <c r="C51" t="s">
        <v>10</v>
      </c>
      <c r="D51" t="s">
        <v>12</v>
      </c>
      <c r="E51">
        <v>0.79200000000000004</v>
      </c>
      <c r="F51">
        <v>1.4999999999999999E-2</v>
      </c>
      <c r="G51">
        <v>0.76400000000000001</v>
      </c>
      <c r="H51">
        <f>+IF(F51&gt;=0.035,1,0)</f>
        <v>0</v>
      </c>
      <c r="I51">
        <f t="shared" si="0"/>
        <v>0</v>
      </c>
      <c r="M51" t="s">
        <v>20</v>
      </c>
      <c r="N51" t="s">
        <v>10</v>
      </c>
      <c r="O51" t="s">
        <v>12</v>
      </c>
      <c r="P51">
        <v>0.78</v>
      </c>
      <c r="Q51">
        <v>1.9E-2</v>
      </c>
      <c r="R51">
        <v>0.79200000000000004</v>
      </c>
      <c r="S51">
        <f>+IF(Q51&gt;=0.035,1,0)</f>
        <v>0</v>
      </c>
      <c r="T51" t="b">
        <f t="shared" si="1"/>
        <v>1</v>
      </c>
    </row>
    <row r="52" spans="1:20" x14ac:dyDescent="0.45">
      <c r="A52">
        <f t="shared" si="2"/>
        <v>50</v>
      </c>
      <c r="B52" t="s">
        <v>20</v>
      </c>
      <c r="C52" t="s">
        <v>10</v>
      </c>
      <c r="D52" t="s">
        <v>13</v>
      </c>
      <c r="E52">
        <v>0.79400000000000004</v>
      </c>
      <c r="F52">
        <v>1.2999999999999999E-2</v>
      </c>
      <c r="G52">
        <v>0.77600000000000002</v>
      </c>
      <c r="H52">
        <f>+IF(F52&gt;=0.035,1,0)</f>
        <v>0</v>
      </c>
      <c r="I52">
        <f t="shared" si="0"/>
        <v>0</v>
      </c>
      <c r="M52" t="s">
        <v>20</v>
      </c>
      <c r="N52" t="s">
        <v>10</v>
      </c>
      <c r="O52" t="s">
        <v>13</v>
      </c>
      <c r="P52">
        <v>0.78100000000000003</v>
      </c>
      <c r="Q52">
        <v>0.02</v>
      </c>
      <c r="R52">
        <v>0.78200000000000003</v>
      </c>
      <c r="S52">
        <f>+IF(Q52&gt;=0.035,1,0)</f>
        <v>0</v>
      </c>
      <c r="T52" t="b">
        <f t="shared" si="1"/>
        <v>1</v>
      </c>
    </row>
    <row r="53" spans="1:20" x14ac:dyDescent="0.45">
      <c r="A53">
        <f t="shared" si="2"/>
        <v>51</v>
      </c>
      <c r="B53" t="s">
        <v>20</v>
      </c>
      <c r="C53" t="s">
        <v>10</v>
      </c>
      <c r="D53" t="s">
        <v>14</v>
      </c>
      <c r="E53">
        <v>0.621</v>
      </c>
      <c r="F53">
        <v>3.2000000000000001E-2</v>
      </c>
      <c r="G53">
        <v>0.54200000000000004</v>
      </c>
      <c r="H53">
        <f>+IF(F53&gt;=0.035,1,0)</f>
        <v>0</v>
      </c>
      <c r="I53">
        <f t="shared" si="0"/>
        <v>0</v>
      </c>
      <c r="M53" t="s">
        <v>20</v>
      </c>
      <c r="N53" t="s">
        <v>10</v>
      </c>
      <c r="O53" t="s">
        <v>14</v>
      </c>
      <c r="P53">
        <v>0.60899999999999999</v>
      </c>
      <c r="Q53">
        <v>3.2000000000000001E-2</v>
      </c>
      <c r="R53">
        <v>0.64900000000000002</v>
      </c>
      <c r="S53">
        <f>+IF(Q53&gt;=0.035,1,0)</f>
        <v>0</v>
      </c>
      <c r="T53" t="b">
        <f t="shared" si="1"/>
        <v>1</v>
      </c>
    </row>
    <row r="54" spans="1:20" x14ac:dyDescent="0.45">
      <c r="A54">
        <f t="shared" si="2"/>
        <v>52</v>
      </c>
      <c r="B54" t="s">
        <v>20</v>
      </c>
      <c r="C54" t="s">
        <v>10</v>
      </c>
      <c r="D54" t="s">
        <v>15</v>
      </c>
      <c r="E54">
        <v>0.69599999999999995</v>
      </c>
      <c r="F54">
        <v>2.1000000000000001E-2</v>
      </c>
      <c r="G54">
        <v>0.63800000000000001</v>
      </c>
      <c r="H54">
        <f>+IF(F54&gt;=0.035,1,0)</f>
        <v>0</v>
      </c>
      <c r="I54">
        <f t="shared" si="0"/>
        <v>1</v>
      </c>
      <c r="M54" t="s">
        <v>20</v>
      </c>
      <c r="N54" t="s">
        <v>10</v>
      </c>
      <c r="O54" t="s">
        <v>15</v>
      </c>
      <c r="P54">
        <v>0.68400000000000005</v>
      </c>
      <c r="Q54">
        <v>2.5999999999999999E-2</v>
      </c>
      <c r="R54">
        <v>0.70899999999999996</v>
      </c>
      <c r="S54">
        <f>+IF(Q54&gt;=0.035,1,0)</f>
        <v>0</v>
      </c>
      <c r="T54" t="b">
        <f t="shared" si="1"/>
        <v>1</v>
      </c>
    </row>
    <row r="55" spans="1:20" x14ac:dyDescent="0.45">
      <c r="A55">
        <f t="shared" si="2"/>
        <v>53</v>
      </c>
      <c r="B55" t="s">
        <v>20</v>
      </c>
      <c r="C55" t="s">
        <v>18</v>
      </c>
      <c r="D55" t="s">
        <v>12</v>
      </c>
      <c r="E55">
        <v>0.79200000000000004</v>
      </c>
      <c r="F55">
        <v>1.4999999999999999E-2</v>
      </c>
      <c r="G55">
        <v>0.76400000000000001</v>
      </c>
      <c r="H55">
        <f>+IF(F55&gt;=0.035,1,0)</f>
        <v>0</v>
      </c>
      <c r="I55">
        <f t="shared" si="0"/>
        <v>0</v>
      </c>
      <c r="M55" t="s">
        <v>20</v>
      </c>
      <c r="N55" t="s">
        <v>18</v>
      </c>
      <c r="O55" t="s">
        <v>12</v>
      </c>
      <c r="P55">
        <v>0.78</v>
      </c>
      <c r="Q55">
        <v>1.9E-2</v>
      </c>
      <c r="R55">
        <v>0.79200000000000004</v>
      </c>
      <c r="S55">
        <f>+IF(Q55&gt;=0.035,1,0)</f>
        <v>0</v>
      </c>
      <c r="T55" t="b">
        <f t="shared" si="1"/>
        <v>1</v>
      </c>
    </row>
    <row r="56" spans="1:20" x14ac:dyDescent="0.45">
      <c r="A56">
        <f t="shared" si="2"/>
        <v>54</v>
      </c>
      <c r="B56" t="s">
        <v>20</v>
      </c>
      <c r="C56" t="s">
        <v>18</v>
      </c>
      <c r="D56" t="s">
        <v>13</v>
      </c>
      <c r="E56">
        <v>0.79400000000000004</v>
      </c>
      <c r="F56">
        <v>1.2999999999999999E-2</v>
      </c>
      <c r="G56">
        <v>0.77600000000000002</v>
      </c>
      <c r="H56">
        <f>+IF(F56&gt;=0.035,1,0)</f>
        <v>0</v>
      </c>
      <c r="I56">
        <f t="shared" si="0"/>
        <v>0</v>
      </c>
      <c r="M56" t="s">
        <v>20</v>
      </c>
      <c r="N56" t="s">
        <v>18</v>
      </c>
      <c r="O56" t="s">
        <v>13</v>
      </c>
      <c r="P56">
        <v>0.78100000000000003</v>
      </c>
      <c r="Q56">
        <v>0.02</v>
      </c>
      <c r="R56">
        <v>0.78200000000000003</v>
      </c>
      <c r="S56">
        <f>+IF(Q56&gt;=0.035,1,0)</f>
        <v>0</v>
      </c>
      <c r="T56" t="b">
        <f t="shared" si="1"/>
        <v>1</v>
      </c>
    </row>
    <row r="57" spans="1:20" x14ac:dyDescent="0.45">
      <c r="A57">
        <f t="shared" si="2"/>
        <v>55</v>
      </c>
      <c r="B57" t="s">
        <v>20</v>
      </c>
      <c r="C57" t="s">
        <v>18</v>
      </c>
      <c r="D57" t="s">
        <v>14</v>
      </c>
      <c r="E57">
        <v>0.621</v>
      </c>
      <c r="F57">
        <v>3.2000000000000001E-2</v>
      </c>
      <c r="G57">
        <v>0.54200000000000004</v>
      </c>
      <c r="H57">
        <f>+IF(F57&gt;=0.035,1,0)</f>
        <v>0</v>
      </c>
      <c r="I57">
        <f t="shared" si="0"/>
        <v>0</v>
      </c>
      <c r="M57" t="s">
        <v>20</v>
      </c>
      <c r="N57" t="s">
        <v>18</v>
      </c>
      <c r="O57" t="s">
        <v>14</v>
      </c>
      <c r="P57">
        <v>0.60899999999999999</v>
      </c>
      <c r="Q57">
        <v>3.2000000000000001E-2</v>
      </c>
      <c r="R57">
        <v>0.64900000000000002</v>
      </c>
      <c r="S57">
        <f>+IF(Q57&gt;=0.035,1,0)</f>
        <v>0</v>
      </c>
      <c r="T57" t="b">
        <f t="shared" si="1"/>
        <v>1</v>
      </c>
    </row>
    <row r="58" spans="1:20" x14ac:dyDescent="0.45">
      <c r="A58">
        <f t="shared" si="2"/>
        <v>56</v>
      </c>
      <c r="B58" t="s">
        <v>20</v>
      </c>
      <c r="C58" t="s">
        <v>18</v>
      </c>
      <c r="D58" t="s">
        <v>15</v>
      </c>
      <c r="E58">
        <v>0.69599999999999995</v>
      </c>
      <c r="F58">
        <v>2.1000000000000001E-2</v>
      </c>
      <c r="G58">
        <v>0.63800000000000001</v>
      </c>
      <c r="H58">
        <f>+IF(F58&gt;=0.035,1,0)</f>
        <v>0</v>
      </c>
      <c r="I58">
        <f t="shared" si="0"/>
        <v>0</v>
      </c>
      <c r="M58" t="s">
        <v>20</v>
      </c>
      <c r="N58" t="s">
        <v>18</v>
      </c>
      <c r="O58" t="s">
        <v>15</v>
      </c>
      <c r="P58">
        <v>0.68400000000000005</v>
      </c>
      <c r="Q58">
        <v>2.5999999999999999E-2</v>
      </c>
      <c r="R58">
        <v>0.70899999999999996</v>
      </c>
      <c r="S58">
        <f>+IF(Q58&gt;=0.035,1,0)</f>
        <v>0</v>
      </c>
      <c r="T58" t="b">
        <f t="shared" si="1"/>
        <v>1</v>
      </c>
    </row>
    <row r="59" spans="1:20" x14ac:dyDescent="0.45">
      <c r="A59">
        <f t="shared" si="2"/>
        <v>57</v>
      </c>
      <c r="B59" t="s">
        <v>21</v>
      </c>
      <c r="C59" t="s">
        <v>10</v>
      </c>
      <c r="D59" t="s">
        <v>12</v>
      </c>
      <c r="E59">
        <v>0.81399999999999995</v>
      </c>
      <c r="F59">
        <v>0.01</v>
      </c>
      <c r="G59">
        <v>0.76900000000000002</v>
      </c>
      <c r="H59">
        <f>+IF(F59&gt;=0.035,1,0)</f>
        <v>0</v>
      </c>
      <c r="I59">
        <f t="shared" si="0"/>
        <v>0</v>
      </c>
      <c r="M59" t="s">
        <v>21</v>
      </c>
      <c r="N59" t="s">
        <v>10</v>
      </c>
      <c r="O59" t="s">
        <v>12</v>
      </c>
      <c r="P59">
        <v>0.79800000000000004</v>
      </c>
      <c r="Q59">
        <v>1.9E-2</v>
      </c>
      <c r="R59">
        <v>0.81699999999999995</v>
      </c>
      <c r="S59">
        <f>+IF(Q59&gt;=0.035,1,0)</f>
        <v>0</v>
      </c>
      <c r="T59" t="b">
        <f t="shared" si="1"/>
        <v>1</v>
      </c>
    </row>
    <row r="60" spans="1:20" x14ac:dyDescent="0.45">
      <c r="A60">
        <f t="shared" si="2"/>
        <v>58</v>
      </c>
      <c r="B60" t="s">
        <v>21</v>
      </c>
      <c r="C60" t="s">
        <v>10</v>
      </c>
      <c r="D60" t="s">
        <v>13</v>
      </c>
      <c r="E60">
        <v>0.84899999999999998</v>
      </c>
      <c r="F60">
        <v>1.7000000000000001E-2</v>
      </c>
      <c r="G60">
        <v>0.80200000000000005</v>
      </c>
      <c r="H60">
        <f>+IF(F60&gt;=0.035,1,0)</f>
        <v>0</v>
      </c>
      <c r="I60">
        <f t="shared" si="0"/>
        <v>0</v>
      </c>
      <c r="M60" t="s">
        <v>21</v>
      </c>
      <c r="N60" t="s">
        <v>10</v>
      </c>
      <c r="O60" t="s">
        <v>13</v>
      </c>
      <c r="P60">
        <v>0.83499999999999996</v>
      </c>
      <c r="Q60">
        <v>2.5999999999999999E-2</v>
      </c>
      <c r="R60">
        <v>0.85499999999999998</v>
      </c>
      <c r="S60">
        <f>+IF(Q60&gt;=0.035,1,0)</f>
        <v>0</v>
      </c>
      <c r="T60" t="b">
        <f t="shared" si="1"/>
        <v>1</v>
      </c>
    </row>
    <row r="61" spans="1:20" x14ac:dyDescent="0.45">
      <c r="A61">
        <f t="shared" si="2"/>
        <v>59</v>
      </c>
      <c r="B61" t="s">
        <v>21</v>
      </c>
      <c r="C61" t="s">
        <v>10</v>
      </c>
      <c r="D61" t="s">
        <v>14</v>
      </c>
      <c r="E61">
        <v>0.626</v>
      </c>
      <c r="F61">
        <v>2.8000000000000001E-2</v>
      </c>
      <c r="G61">
        <v>0.52900000000000003</v>
      </c>
      <c r="H61">
        <f>+IF(F61&gt;=0.035,1,0)</f>
        <v>0</v>
      </c>
      <c r="I61">
        <f t="shared" si="0"/>
        <v>0</v>
      </c>
      <c r="M61" t="s">
        <v>21</v>
      </c>
      <c r="N61" t="s">
        <v>10</v>
      </c>
      <c r="O61" t="s">
        <v>14</v>
      </c>
      <c r="P61">
        <v>0.60399999999999998</v>
      </c>
      <c r="Q61">
        <v>3.2000000000000001E-2</v>
      </c>
      <c r="R61">
        <v>0.64100000000000001</v>
      </c>
      <c r="S61">
        <f>+IF(Q61&gt;=0.035,1,0)</f>
        <v>0</v>
      </c>
      <c r="T61" t="b">
        <f t="shared" si="1"/>
        <v>1</v>
      </c>
    </row>
    <row r="62" spans="1:20" s="1" customFormat="1" x14ac:dyDescent="0.45">
      <c r="A62" s="1">
        <f t="shared" si="2"/>
        <v>60</v>
      </c>
      <c r="B62" s="1" t="s">
        <v>21</v>
      </c>
      <c r="C62" s="1" t="s">
        <v>10</v>
      </c>
      <c r="D62" s="1" t="s">
        <v>15</v>
      </c>
      <c r="E62" s="1">
        <v>0.72</v>
      </c>
      <c r="F62" s="1">
        <v>1.7000000000000001E-2</v>
      </c>
      <c r="G62" s="1">
        <v>0.63700000000000001</v>
      </c>
      <c r="H62" s="1">
        <f>+IF(F62&gt;=0.035,1,0)</f>
        <v>0</v>
      </c>
      <c r="I62" s="1">
        <f t="shared" si="0"/>
        <v>1</v>
      </c>
      <c r="M62" s="1" t="s">
        <v>21</v>
      </c>
      <c r="N62" s="1" t="s">
        <v>10</v>
      </c>
      <c r="O62" s="1" t="s">
        <v>15</v>
      </c>
      <c r="P62" s="1">
        <v>0.7</v>
      </c>
      <c r="Q62" s="1">
        <v>2.9000000000000001E-2</v>
      </c>
      <c r="R62" s="1">
        <v>0.73299999999999998</v>
      </c>
      <c r="S62" s="1">
        <f>+IF(Q62&gt;=0.035,1,0)</f>
        <v>0</v>
      </c>
      <c r="T62" s="1" t="b">
        <f t="shared" si="1"/>
        <v>1</v>
      </c>
    </row>
    <row r="63" spans="1:20" x14ac:dyDescent="0.45">
      <c r="A63">
        <f t="shared" si="2"/>
        <v>61</v>
      </c>
      <c r="B63" t="s">
        <v>21</v>
      </c>
      <c r="C63" t="s">
        <v>18</v>
      </c>
      <c r="D63" t="s">
        <v>12</v>
      </c>
      <c r="E63">
        <v>0.81399999999999995</v>
      </c>
      <c r="F63">
        <v>0.01</v>
      </c>
      <c r="G63">
        <v>0.76900000000000002</v>
      </c>
      <c r="H63">
        <f>+IF(F63&gt;=0.035,1,0)</f>
        <v>0</v>
      </c>
      <c r="I63">
        <f t="shared" si="0"/>
        <v>0</v>
      </c>
      <c r="M63" t="s">
        <v>21</v>
      </c>
      <c r="N63" t="s">
        <v>18</v>
      </c>
      <c r="O63" t="s">
        <v>12</v>
      </c>
      <c r="P63">
        <v>0.79800000000000004</v>
      </c>
      <c r="Q63">
        <v>1.9E-2</v>
      </c>
      <c r="R63">
        <v>0.81699999999999995</v>
      </c>
      <c r="S63">
        <f>+IF(Q63&gt;=0.035,1,0)</f>
        <v>0</v>
      </c>
      <c r="T63" t="b">
        <f t="shared" si="1"/>
        <v>1</v>
      </c>
    </row>
    <row r="64" spans="1:20" x14ac:dyDescent="0.45">
      <c r="A64">
        <f t="shared" si="2"/>
        <v>62</v>
      </c>
      <c r="B64" t="s">
        <v>21</v>
      </c>
      <c r="C64" t="s">
        <v>18</v>
      </c>
      <c r="D64" t="s">
        <v>13</v>
      </c>
      <c r="E64">
        <v>0.84899999999999998</v>
      </c>
      <c r="F64">
        <v>1.7000000000000001E-2</v>
      </c>
      <c r="G64">
        <v>0.80200000000000005</v>
      </c>
      <c r="H64">
        <f>+IF(F64&gt;=0.035,1,0)</f>
        <v>0</v>
      </c>
      <c r="I64">
        <f t="shared" si="0"/>
        <v>0</v>
      </c>
      <c r="M64" t="s">
        <v>21</v>
      </c>
      <c r="N64" t="s">
        <v>18</v>
      </c>
      <c r="O64" t="s">
        <v>13</v>
      </c>
      <c r="P64">
        <v>0.83499999999999996</v>
      </c>
      <c r="Q64">
        <v>2.5999999999999999E-2</v>
      </c>
      <c r="R64">
        <v>0.85499999999999998</v>
      </c>
      <c r="S64">
        <f>+IF(Q64&gt;=0.035,1,0)</f>
        <v>0</v>
      </c>
      <c r="T64" t="b">
        <f t="shared" si="1"/>
        <v>1</v>
      </c>
    </row>
    <row r="65" spans="1:20" x14ac:dyDescent="0.45">
      <c r="A65">
        <f t="shared" si="2"/>
        <v>63</v>
      </c>
      <c r="B65" t="s">
        <v>21</v>
      </c>
      <c r="C65" t="s">
        <v>18</v>
      </c>
      <c r="D65" t="s">
        <v>14</v>
      </c>
      <c r="E65">
        <v>0.626</v>
      </c>
      <c r="F65">
        <v>2.8000000000000001E-2</v>
      </c>
      <c r="G65">
        <v>0.52900000000000003</v>
      </c>
      <c r="H65">
        <f>+IF(F65&gt;=0.035,1,0)</f>
        <v>0</v>
      </c>
      <c r="I65">
        <f t="shared" si="0"/>
        <v>0</v>
      </c>
      <c r="M65" t="s">
        <v>21</v>
      </c>
      <c r="N65" t="s">
        <v>18</v>
      </c>
      <c r="O65" t="s">
        <v>14</v>
      </c>
      <c r="P65">
        <v>0.60399999999999998</v>
      </c>
      <c r="Q65">
        <v>3.2000000000000001E-2</v>
      </c>
      <c r="R65">
        <v>0.64100000000000001</v>
      </c>
      <c r="S65">
        <f>+IF(Q65&gt;=0.035,1,0)</f>
        <v>0</v>
      </c>
      <c r="T65" t="b">
        <f t="shared" si="1"/>
        <v>1</v>
      </c>
    </row>
    <row r="66" spans="1:20" x14ac:dyDescent="0.45">
      <c r="A66">
        <f t="shared" si="2"/>
        <v>64</v>
      </c>
      <c r="B66" t="s">
        <v>21</v>
      </c>
      <c r="C66" t="s">
        <v>18</v>
      </c>
      <c r="D66" t="s">
        <v>15</v>
      </c>
      <c r="E66">
        <v>0.72</v>
      </c>
      <c r="F66">
        <v>1.7000000000000001E-2</v>
      </c>
      <c r="G66">
        <v>0.63700000000000001</v>
      </c>
      <c r="H66">
        <f>+IF(F66&gt;=0.035,1,0)</f>
        <v>0</v>
      </c>
      <c r="I66">
        <f t="shared" si="0"/>
        <v>0</v>
      </c>
      <c r="M66" t="s">
        <v>21</v>
      </c>
      <c r="N66" t="s">
        <v>18</v>
      </c>
      <c r="O66" t="s">
        <v>15</v>
      </c>
      <c r="P66">
        <v>0.7</v>
      </c>
      <c r="Q66">
        <v>2.9000000000000001E-2</v>
      </c>
      <c r="R66">
        <v>0.73299999999999998</v>
      </c>
      <c r="S66">
        <f>+IF(Q66&gt;=0.035,1,0)</f>
        <v>0</v>
      </c>
      <c r="T66" t="b">
        <f t="shared" si="1"/>
        <v>1</v>
      </c>
    </row>
  </sheetData>
  <autoFilter ref="A2:T66" xr:uid="{00000000-0001-0000-0000-000000000000}"/>
  <mergeCells count="2">
    <mergeCell ref="B1:G1"/>
    <mergeCell ref="M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"/>
  <sheetViews>
    <sheetView tabSelected="1" workbookViewId="0">
      <selection activeCell="Q59" sqref="Q59:Q66"/>
    </sheetView>
  </sheetViews>
  <sheetFormatPr defaultRowHeight="14.25" x14ac:dyDescent="0.45"/>
  <cols>
    <col min="2" max="2" width="19.265625" bestFit="1" customWidth="1"/>
  </cols>
  <sheetData>
    <row r="1" spans="1:19" x14ac:dyDescent="0.45">
      <c r="B1" s="3" t="s">
        <v>16</v>
      </c>
      <c r="C1" s="3"/>
      <c r="D1" s="3"/>
      <c r="E1" s="3"/>
      <c r="F1" s="3"/>
      <c r="G1" s="3"/>
      <c r="L1" s="3" t="s">
        <v>22</v>
      </c>
      <c r="M1" s="3"/>
      <c r="N1" s="3"/>
      <c r="O1" s="3"/>
      <c r="P1" s="3"/>
      <c r="Q1" s="3"/>
    </row>
    <row r="2" spans="1:19" x14ac:dyDescent="0.45">
      <c r="A2" t="s">
        <v>25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4" t="s">
        <v>23</v>
      </c>
      <c r="L2" s="2" t="s">
        <v>0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4" t="s">
        <v>23</v>
      </c>
      <c r="S2" s="7" t="s">
        <v>26</v>
      </c>
    </row>
    <row r="3" spans="1:19" x14ac:dyDescent="0.45">
      <c r="A3">
        <v>1</v>
      </c>
      <c r="B3" t="s">
        <v>6</v>
      </c>
      <c r="C3" t="s">
        <v>10</v>
      </c>
      <c r="D3" t="s">
        <v>12</v>
      </c>
      <c r="E3">
        <v>0.70399999999999996</v>
      </c>
      <c r="F3">
        <v>1.7000000000000001E-2</v>
      </c>
      <c r="G3">
        <v>0.69899999999999995</v>
      </c>
      <c r="H3" s="8">
        <f>+IF(AND(C3="Base",D3="F1"),1,0)</f>
        <v>0</v>
      </c>
      <c r="L3" t="s">
        <v>6</v>
      </c>
      <c r="M3" t="s">
        <v>10</v>
      </c>
      <c r="N3" t="s">
        <v>12</v>
      </c>
      <c r="O3">
        <v>0.72199999999999998</v>
      </c>
      <c r="P3">
        <v>2.4E-2</v>
      </c>
      <c r="Q3">
        <v>0.70699999999999996</v>
      </c>
      <c r="R3">
        <f>+IF(AND(M3="Base",N3="Accuracy"),1,0)</f>
        <v>1</v>
      </c>
      <c r="S3" t="b">
        <f>+Q3&gt;G3</f>
        <v>1</v>
      </c>
    </row>
    <row r="4" spans="1:19" x14ac:dyDescent="0.45">
      <c r="A4">
        <f>+A3+1</f>
        <v>2</v>
      </c>
      <c r="B4" t="s">
        <v>6</v>
      </c>
      <c r="C4" t="s">
        <v>10</v>
      </c>
      <c r="D4" t="s">
        <v>13</v>
      </c>
      <c r="E4">
        <v>0.71199999999999997</v>
      </c>
      <c r="F4">
        <v>2.4E-2</v>
      </c>
      <c r="G4">
        <v>0.69599999999999995</v>
      </c>
      <c r="H4" s="8">
        <f t="shared" ref="H4:H66" si="0">+IF(AND(C4="Base",D4="F1"),1,0)</f>
        <v>0</v>
      </c>
      <c r="L4" t="s">
        <v>6</v>
      </c>
      <c r="M4" t="s">
        <v>10</v>
      </c>
      <c r="N4" t="s">
        <v>13</v>
      </c>
      <c r="O4">
        <v>0.74199999999999999</v>
      </c>
      <c r="P4">
        <v>0.02</v>
      </c>
      <c r="Q4">
        <v>0.72199999999999998</v>
      </c>
      <c r="R4">
        <f t="shared" ref="R4:R66" si="1">+IF(AND(M4="Base",N4="Accuracy"),1,0)</f>
        <v>0</v>
      </c>
      <c r="S4" t="b">
        <f t="shared" ref="S4:S66" si="2">+Q4&gt;G4</f>
        <v>1</v>
      </c>
    </row>
    <row r="5" spans="1:19" x14ac:dyDescent="0.45">
      <c r="A5">
        <f t="shared" ref="A5:A66" si="3">+A4+1</f>
        <v>3</v>
      </c>
      <c r="B5" t="s">
        <v>6</v>
      </c>
      <c r="C5" t="s">
        <v>10</v>
      </c>
      <c r="D5" t="s">
        <v>14</v>
      </c>
      <c r="E5">
        <v>0.70899999999999996</v>
      </c>
      <c r="F5">
        <v>1.2999999999999999E-2</v>
      </c>
      <c r="G5">
        <v>0.73499999999999999</v>
      </c>
      <c r="H5" s="8">
        <f t="shared" si="0"/>
        <v>0</v>
      </c>
      <c r="L5" t="s">
        <v>6</v>
      </c>
      <c r="M5" t="s">
        <v>10</v>
      </c>
      <c r="N5" t="s">
        <v>14</v>
      </c>
      <c r="O5">
        <v>0.70699999999999996</v>
      </c>
      <c r="P5">
        <v>3.9E-2</v>
      </c>
      <c r="Q5">
        <v>0.69899999999999995</v>
      </c>
      <c r="R5">
        <f t="shared" si="1"/>
        <v>0</v>
      </c>
      <c r="S5" t="b">
        <f t="shared" si="2"/>
        <v>0</v>
      </c>
    </row>
    <row r="6" spans="1:19" x14ac:dyDescent="0.45">
      <c r="A6">
        <f t="shared" si="3"/>
        <v>4</v>
      </c>
      <c r="B6" t="s">
        <v>6</v>
      </c>
      <c r="C6" t="s">
        <v>10</v>
      </c>
      <c r="D6" t="s">
        <v>15</v>
      </c>
      <c r="E6">
        <v>0.71099999999999997</v>
      </c>
      <c r="F6">
        <v>1.7000000000000001E-2</v>
      </c>
      <c r="G6">
        <v>0.71499999999999997</v>
      </c>
      <c r="H6" s="8">
        <f t="shared" si="0"/>
        <v>1</v>
      </c>
      <c r="L6" t="s">
        <v>6</v>
      </c>
      <c r="M6" t="s">
        <v>10</v>
      </c>
      <c r="N6" t="s">
        <v>15</v>
      </c>
      <c r="O6">
        <v>0.72299999999999998</v>
      </c>
      <c r="P6">
        <v>2.3E-2</v>
      </c>
      <c r="Q6">
        <v>0.71</v>
      </c>
      <c r="R6">
        <f t="shared" si="1"/>
        <v>0</v>
      </c>
      <c r="S6" t="b">
        <f t="shared" si="2"/>
        <v>0</v>
      </c>
    </row>
    <row r="7" spans="1:19" x14ac:dyDescent="0.45">
      <c r="A7">
        <f t="shared" si="3"/>
        <v>5</v>
      </c>
      <c r="B7" t="s">
        <v>6</v>
      </c>
      <c r="C7" t="s">
        <v>11</v>
      </c>
      <c r="D7" t="s">
        <v>12</v>
      </c>
      <c r="E7">
        <v>0.67100000000000004</v>
      </c>
      <c r="F7">
        <v>8.0000000000000002E-3</v>
      </c>
      <c r="G7">
        <v>0.66600000000000004</v>
      </c>
      <c r="H7" s="8">
        <f t="shared" si="0"/>
        <v>0</v>
      </c>
      <c r="L7" t="s">
        <v>6</v>
      </c>
      <c r="M7" t="s">
        <v>11</v>
      </c>
      <c r="N7" t="s">
        <v>12</v>
      </c>
      <c r="O7">
        <v>0.68200000000000005</v>
      </c>
      <c r="P7">
        <v>1.7000000000000001E-2</v>
      </c>
      <c r="Q7">
        <v>0.69299999999999995</v>
      </c>
      <c r="R7">
        <f t="shared" si="1"/>
        <v>0</v>
      </c>
      <c r="S7" t="b">
        <f t="shared" si="2"/>
        <v>1</v>
      </c>
    </row>
    <row r="8" spans="1:19" x14ac:dyDescent="0.45">
      <c r="A8">
        <f t="shared" si="3"/>
        <v>6</v>
      </c>
      <c r="B8" t="s">
        <v>6</v>
      </c>
      <c r="C8" t="s">
        <v>11</v>
      </c>
      <c r="D8" t="s">
        <v>13</v>
      </c>
      <c r="E8">
        <v>0.66800000000000004</v>
      </c>
      <c r="F8">
        <v>1.0999999999999999E-2</v>
      </c>
      <c r="G8">
        <v>0.66</v>
      </c>
      <c r="H8" s="8">
        <f t="shared" si="0"/>
        <v>0</v>
      </c>
      <c r="L8" t="s">
        <v>6</v>
      </c>
      <c r="M8" t="s">
        <v>11</v>
      </c>
      <c r="N8" t="s">
        <v>13</v>
      </c>
      <c r="O8">
        <v>0.68600000000000005</v>
      </c>
      <c r="P8">
        <v>0.02</v>
      </c>
      <c r="Q8">
        <v>0.69499999999999995</v>
      </c>
      <c r="R8">
        <f t="shared" si="1"/>
        <v>0</v>
      </c>
      <c r="S8" t="b">
        <f t="shared" si="2"/>
        <v>1</v>
      </c>
    </row>
    <row r="9" spans="1:19" x14ac:dyDescent="0.45">
      <c r="A9">
        <f t="shared" si="3"/>
        <v>7</v>
      </c>
      <c r="B9" t="s">
        <v>6</v>
      </c>
      <c r="C9" t="s">
        <v>11</v>
      </c>
      <c r="D9" t="s">
        <v>14</v>
      </c>
      <c r="E9">
        <v>0.71499999999999997</v>
      </c>
      <c r="F9">
        <v>1.6E-2</v>
      </c>
      <c r="G9">
        <v>0.71899999999999997</v>
      </c>
      <c r="H9" s="8">
        <f t="shared" si="0"/>
        <v>0</v>
      </c>
      <c r="L9" t="s">
        <v>6</v>
      </c>
      <c r="M9" t="s">
        <v>11</v>
      </c>
      <c r="N9" t="s">
        <v>14</v>
      </c>
      <c r="O9">
        <v>0.71</v>
      </c>
      <c r="P9">
        <v>0.03</v>
      </c>
      <c r="Q9">
        <v>0.72099999999999997</v>
      </c>
      <c r="R9">
        <f t="shared" si="1"/>
        <v>0</v>
      </c>
      <c r="S9" t="b">
        <f t="shared" si="2"/>
        <v>1</v>
      </c>
    </row>
    <row r="10" spans="1:19" x14ac:dyDescent="0.45">
      <c r="A10">
        <f t="shared" si="3"/>
        <v>8</v>
      </c>
      <c r="B10" t="s">
        <v>6</v>
      </c>
      <c r="C10" t="s">
        <v>11</v>
      </c>
      <c r="D10" t="s">
        <v>15</v>
      </c>
      <c r="E10">
        <v>0.69</v>
      </c>
      <c r="F10">
        <v>8.0000000000000002E-3</v>
      </c>
      <c r="G10">
        <v>0.68799999999999994</v>
      </c>
      <c r="H10" s="8">
        <f t="shared" si="0"/>
        <v>0</v>
      </c>
      <c r="L10" t="s">
        <v>6</v>
      </c>
      <c r="M10" t="s">
        <v>11</v>
      </c>
      <c r="N10" t="s">
        <v>15</v>
      </c>
      <c r="O10">
        <v>0.69699999999999995</v>
      </c>
      <c r="P10">
        <v>1.4999999999999999E-2</v>
      </c>
      <c r="Q10">
        <v>0.70799999999999996</v>
      </c>
      <c r="R10">
        <f t="shared" si="1"/>
        <v>0</v>
      </c>
      <c r="S10" t="b">
        <f t="shared" si="2"/>
        <v>1</v>
      </c>
    </row>
    <row r="11" spans="1:19" x14ac:dyDescent="0.45">
      <c r="A11">
        <f t="shared" si="3"/>
        <v>9</v>
      </c>
      <c r="B11" t="s">
        <v>7</v>
      </c>
      <c r="C11" t="s">
        <v>10</v>
      </c>
      <c r="D11" t="s">
        <v>12</v>
      </c>
      <c r="E11">
        <v>0.60599999999999998</v>
      </c>
      <c r="F11">
        <v>1.2999999999999999E-2</v>
      </c>
      <c r="G11">
        <v>0.60699999999999998</v>
      </c>
      <c r="H11" s="8">
        <f t="shared" si="0"/>
        <v>0</v>
      </c>
      <c r="L11" t="s">
        <v>7</v>
      </c>
      <c r="M11" t="s">
        <v>10</v>
      </c>
      <c r="N11" t="s">
        <v>12</v>
      </c>
      <c r="O11">
        <v>0.60299999999999998</v>
      </c>
      <c r="P11">
        <v>2.1000000000000001E-2</v>
      </c>
      <c r="Q11">
        <v>0.58099999999999996</v>
      </c>
      <c r="R11">
        <f t="shared" si="1"/>
        <v>1</v>
      </c>
      <c r="S11" t="b">
        <f t="shared" si="2"/>
        <v>0</v>
      </c>
    </row>
    <row r="12" spans="1:19" x14ac:dyDescent="0.45">
      <c r="A12">
        <f t="shared" si="3"/>
        <v>10</v>
      </c>
      <c r="B12" t="s">
        <v>7</v>
      </c>
      <c r="C12" t="s">
        <v>10</v>
      </c>
      <c r="D12" t="s">
        <v>13</v>
      </c>
      <c r="E12">
        <v>0.61499999999999999</v>
      </c>
      <c r="F12">
        <v>2.1999999999999999E-2</v>
      </c>
      <c r="G12">
        <v>0.61099999999999999</v>
      </c>
      <c r="H12" s="8">
        <f t="shared" si="0"/>
        <v>0</v>
      </c>
      <c r="L12" t="s">
        <v>7</v>
      </c>
      <c r="M12" t="s">
        <v>10</v>
      </c>
      <c r="N12" t="s">
        <v>13</v>
      </c>
      <c r="O12">
        <v>0.62</v>
      </c>
      <c r="P12">
        <v>1.2E-2</v>
      </c>
      <c r="Q12">
        <v>0.59099999999999997</v>
      </c>
      <c r="R12">
        <f t="shared" si="1"/>
        <v>0</v>
      </c>
      <c r="S12" t="b">
        <f t="shared" si="2"/>
        <v>0</v>
      </c>
    </row>
    <row r="13" spans="1:19" x14ac:dyDescent="0.45">
      <c r="A13">
        <f t="shared" si="3"/>
        <v>11</v>
      </c>
      <c r="B13" t="s">
        <v>7</v>
      </c>
      <c r="C13" t="s">
        <v>10</v>
      </c>
      <c r="D13" t="s">
        <v>14</v>
      </c>
      <c r="E13">
        <v>0.627</v>
      </c>
      <c r="F13">
        <v>0.03</v>
      </c>
      <c r="G13">
        <v>0.64500000000000002</v>
      </c>
      <c r="H13" s="8">
        <f t="shared" si="0"/>
        <v>0</v>
      </c>
      <c r="L13" t="s">
        <v>7</v>
      </c>
      <c r="M13" t="s">
        <v>10</v>
      </c>
      <c r="N13" t="s">
        <v>14</v>
      </c>
      <c r="O13">
        <v>0.59</v>
      </c>
      <c r="P13">
        <v>3.6999999999999998E-2</v>
      </c>
      <c r="Q13">
        <v>0.60399999999999998</v>
      </c>
      <c r="R13">
        <f t="shared" si="1"/>
        <v>0</v>
      </c>
      <c r="S13" t="b">
        <f t="shared" si="2"/>
        <v>0</v>
      </c>
    </row>
    <row r="14" spans="1:19" x14ac:dyDescent="0.45">
      <c r="A14">
        <f t="shared" si="3"/>
        <v>12</v>
      </c>
      <c r="B14" t="s">
        <v>7</v>
      </c>
      <c r="C14" t="s">
        <v>10</v>
      </c>
      <c r="D14" t="s">
        <v>15</v>
      </c>
      <c r="E14">
        <v>0.62</v>
      </c>
      <c r="F14">
        <v>1.9E-2</v>
      </c>
      <c r="G14">
        <v>0.627</v>
      </c>
      <c r="H14" s="8">
        <f t="shared" si="0"/>
        <v>1</v>
      </c>
      <c r="L14" t="s">
        <v>7</v>
      </c>
      <c r="M14" t="s">
        <v>10</v>
      </c>
      <c r="N14" t="s">
        <v>15</v>
      </c>
      <c r="O14">
        <v>0.60399999999999998</v>
      </c>
      <c r="P14">
        <v>2.1999999999999999E-2</v>
      </c>
      <c r="Q14">
        <v>0.59699999999999998</v>
      </c>
      <c r="R14">
        <f t="shared" si="1"/>
        <v>0</v>
      </c>
      <c r="S14" t="b">
        <f t="shared" si="2"/>
        <v>0</v>
      </c>
    </row>
    <row r="15" spans="1:19" x14ac:dyDescent="0.45">
      <c r="A15">
        <f t="shared" si="3"/>
        <v>13</v>
      </c>
      <c r="B15" t="s">
        <v>7</v>
      </c>
      <c r="C15" t="s">
        <v>11</v>
      </c>
      <c r="D15" t="s">
        <v>12</v>
      </c>
      <c r="E15">
        <v>0.61599999999999999</v>
      </c>
      <c r="F15">
        <v>1.7000000000000001E-2</v>
      </c>
      <c r="G15">
        <v>0.61099999999999999</v>
      </c>
      <c r="H15" s="8">
        <f t="shared" si="0"/>
        <v>0</v>
      </c>
      <c r="L15" t="s">
        <v>7</v>
      </c>
      <c r="M15" t="s">
        <v>11</v>
      </c>
      <c r="N15" t="s">
        <v>12</v>
      </c>
      <c r="O15">
        <v>0.61099999999999999</v>
      </c>
      <c r="P15">
        <v>1.9E-2</v>
      </c>
      <c r="Q15">
        <v>0.61499999999999999</v>
      </c>
      <c r="R15">
        <f t="shared" si="1"/>
        <v>0</v>
      </c>
      <c r="S15" t="b">
        <f t="shared" si="2"/>
        <v>1</v>
      </c>
    </row>
    <row r="16" spans="1:19" x14ac:dyDescent="0.45">
      <c r="A16">
        <f t="shared" si="3"/>
        <v>14</v>
      </c>
      <c r="B16" t="s">
        <v>7</v>
      </c>
      <c r="C16" t="s">
        <v>11</v>
      </c>
      <c r="D16" t="s">
        <v>13</v>
      </c>
      <c r="E16">
        <v>0.61699999999999999</v>
      </c>
      <c r="F16">
        <v>2.1000000000000001E-2</v>
      </c>
      <c r="G16">
        <v>0.61399999999999999</v>
      </c>
      <c r="H16" s="8">
        <f t="shared" si="0"/>
        <v>0</v>
      </c>
      <c r="L16" t="s">
        <v>7</v>
      </c>
      <c r="M16" t="s">
        <v>11</v>
      </c>
      <c r="N16" t="s">
        <v>13</v>
      </c>
      <c r="O16">
        <v>0.61899999999999999</v>
      </c>
      <c r="P16">
        <v>1.4E-2</v>
      </c>
      <c r="Q16">
        <v>0.621</v>
      </c>
      <c r="R16">
        <f t="shared" si="1"/>
        <v>0</v>
      </c>
      <c r="S16" t="b">
        <f t="shared" si="2"/>
        <v>1</v>
      </c>
    </row>
    <row r="17" spans="1:19" x14ac:dyDescent="0.45">
      <c r="A17">
        <f t="shared" si="3"/>
        <v>15</v>
      </c>
      <c r="B17" t="s">
        <v>7</v>
      </c>
      <c r="C17" t="s">
        <v>11</v>
      </c>
      <c r="D17" t="s">
        <v>14</v>
      </c>
      <c r="E17">
        <v>0.66400000000000003</v>
      </c>
      <c r="F17">
        <v>3.6999999999999998E-2</v>
      </c>
      <c r="G17">
        <v>0.64900000000000002</v>
      </c>
      <c r="H17" s="8">
        <f t="shared" si="0"/>
        <v>0</v>
      </c>
      <c r="L17" t="s">
        <v>7</v>
      </c>
      <c r="M17" t="s">
        <v>11</v>
      </c>
      <c r="N17" t="s">
        <v>14</v>
      </c>
      <c r="O17">
        <v>0.64</v>
      </c>
      <c r="P17">
        <v>5.3999999999999999E-2</v>
      </c>
      <c r="Q17">
        <v>0.64800000000000002</v>
      </c>
      <c r="R17">
        <f t="shared" si="1"/>
        <v>0</v>
      </c>
      <c r="S17" t="b">
        <f t="shared" si="2"/>
        <v>0</v>
      </c>
    </row>
    <row r="18" spans="1:19" x14ac:dyDescent="0.45">
      <c r="A18">
        <f t="shared" si="3"/>
        <v>16</v>
      </c>
      <c r="B18" t="s">
        <v>7</v>
      </c>
      <c r="C18" t="s">
        <v>11</v>
      </c>
      <c r="D18" t="s">
        <v>15</v>
      </c>
      <c r="E18">
        <v>0.63900000000000001</v>
      </c>
      <c r="F18">
        <v>2.1000000000000001E-2</v>
      </c>
      <c r="G18">
        <v>0.63100000000000001</v>
      </c>
      <c r="H18" s="8">
        <f t="shared" si="0"/>
        <v>0</v>
      </c>
      <c r="L18" t="s">
        <v>7</v>
      </c>
      <c r="M18" t="s">
        <v>11</v>
      </c>
      <c r="N18" t="s">
        <v>15</v>
      </c>
      <c r="O18">
        <v>0.628</v>
      </c>
      <c r="P18">
        <v>2.5000000000000001E-2</v>
      </c>
      <c r="Q18">
        <v>0.63400000000000001</v>
      </c>
      <c r="R18">
        <f t="shared" si="1"/>
        <v>0</v>
      </c>
      <c r="S18" t="b">
        <f t="shared" si="2"/>
        <v>1</v>
      </c>
    </row>
    <row r="19" spans="1:19" x14ac:dyDescent="0.45">
      <c r="A19">
        <f t="shared" si="3"/>
        <v>17</v>
      </c>
      <c r="B19" t="s">
        <v>8</v>
      </c>
      <c r="C19" t="s">
        <v>10</v>
      </c>
      <c r="D19" t="s">
        <v>12</v>
      </c>
      <c r="E19">
        <v>0.73299999999999998</v>
      </c>
      <c r="F19">
        <v>1.6E-2</v>
      </c>
      <c r="G19">
        <v>0.73299999999999998</v>
      </c>
      <c r="H19" s="8">
        <f t="shared" si="0"/>
        <v>0</v>
      </c>
      <c r="L19" t="s">
        <v>8</v>
      </c>
      <c r="M19" t="s">
        <v>10</v>
      </c>
      <c r="N19" t="s">
        <v>12</v>
      </c>
      <c r="O19">
        <v>0.71499999999999997</v>
      </c>
      <c r="P19">
        <v>1.2E-2</v>
      </c>
      <c r="Q19">
        <v>0.72699999999999998</v>
      </c>
      <c r="R19">
        <f t="shared" si="1"/>
        <v>1</v>
      </c>
      <c r="S19" t="b">
        <f t="shared" si="2"/>
        <v>0</v>
      </c>
    </row>
    <row r="20" spans="1:19" x14ac:dyDescent="0.45">
      <c r="A20">
        <f t="shared" si="3"/>
        <v>18</v>
      </c>
      <c r="B20" t="s">
        <v>8</v>
      </c>
      <c r="C20" t="s">
        <v>10</v>
      </c>
      <c r="D20" t="s">
        <v>13</v>
      </c>
      <c r="E20">
        <v>0.73699999999999999</v>
      </c>
      <c r="F20">
        <v>1.9E-2</v>
      </c>
      <c r="G20">
        <v>0.73399999999999999</v>
      </c>
      <c r="H20" s="8">
        <f t="shared" si="0"/>
        <v>0</v>
      </c>
      <c r="L20" t="s">
        <v>8</v>
      </c>
      <c r="M20" t="s">
        <v>10</v>
      </c>
      <c r="N20" t="s">
        <v>13</v>
      </c>
      <c r="O20">
        <v>0.71899999999999997</v>
      </c>
      <c r="P20">
        <v>0.02</v>
      </c>
      <c r="Q20">
        <v>0.72199999999999998</v>
      </c>
      <c r="R20">
        <f t="shared" si="1"/>
        <v>0</v>
      </c>
      <c r="S20" t="b">
        <f t="shared" si="2"/>
        <v>0</v>
      </c>
    </row>
    <row r="21" spans="1:19" x14ac:dyDescent="0.45">
      <c r="A21">
        <f t="shared" si="3"/>
        <v>19</v>
      </c>
      <c r="B21" t="s">
        <v>8</v>
      </c>
      <c r="C21" t="s">
        <v>10</v>
      </c>
      <c r="D21" t="s">
        <v>14</v>
      </c>
      <c r="E21">
        <v>0.745</v>
      </c>
      <c r="F21">
        <v>1.7999999999999999E-2</v>
      </c>
      <c r="G21">
        <v>0.752</v>
      </c>
      <c r="H21" s="8">
        <f t="shared" si="0"/>
        <v>0</v>
      </c>
      <c r="L21" t="s">
        <v>8</v>
      </c>
      <c r="M21" t="s">
        <v>10</v>
      </c>
      <c r="N21" t="s">
        <v>14</v>
      </c>
      <c r="O21">
        <v>0.73299999999999998</v>
      </c>
      <c r="P21">
        <v>0.02</v>
      </c>
      <c r="Q21">
        <v>0.76200000000000001</v>
      </c>
      <c r="R21">
        <f t="shared" si="1"/>
        <v>0</v>
      </c>
      <c r="S21" t="b">
        <f t="shared" si="2"/>
        <v>1</v>
      </c>
    </row>
    <row r="22" spans="1:19" s="1" customFormat="1" x14ac:dyDescent="0.45">
      <c r="A22" s="1">
        <f t="shared" si="3"/>
        <v>20</v>
      </c>
      <c r="B22" s="1" t="s">
        <v>8</v>
      </c>
      <c r="C22" s="1" t="s">
        <v>10</v>
      </c>
      <c r="D22" s="1" t="s">
        <v>15</v>
      </c>
      <c r="E22" s="1">
        <v>0.74099999999999999</v>
      </c>
      <c r="F22" s="1">
        <v>1.7000000000000001E-2</v>
      </c>
      <c r="G22" s="1">
        <v>0.74299999999999999</v>
      </c>
      <c r="H22" s="9">
        <f t="shared" si="0"/>
        <v>1</v>
      </c>
      <c r="L22" s="1" t="s">
        <v>8</v>
      </c>
      <c r="M22" s="1" t="s">
        <v>10</v>
      </c>
      <c r="N22" s="1" t="s">
        <v>15</v>
      </c>
      <c r="O22" s="1">
        <v>0.72599999999999998</v>
      </c>
      <c r="P22" s="1">
        <v>1.2E-2</v>
      </c>
      <c r="Q22" s="1">
        <v>0.74099999999999999</v>
      </c>
      <c r="R22" s="1">
        <f t="shared" si="1"/>
        <v>0</v>
      </c>
      <c r="S22" s="1" t="b">
        <f t="shared" si="2"/>
        <v>0</v>
      </c>
    </row>
    <row r="23" spans="1:19" x14ac:dyDescent="0.45">
      <c r="A23">
        <f t="shared" si="3"/>
        <v>21</v>
      </c>
      <c r="B23" t="s">
        <v>8</v>
      </c>
      <c r="C23" t="s">
        <v>11</v>
      </c>
      <c r="D23" t="s">
        <v>12</v>
      </c>
      <c r="E23">
        <v>0.67800000000000005</v>
      </c>
      <c r="F23">
        <v>1.2E-2</v>
      </c>
      <c r="G23">
        <v>0.66800000000000004</v>
      </c>
      <c r="H23" s="8">
        <f t="shared" si="0"/>
        <v>0</v>
      </c>
      <c r="L23" t="s">
        <v>8</v>
      </c>
      <c r="M23" t="s">
        <v>11</v>
      </c>
      <c r="N23" t="s">
        <v>12</v>
      </c>
      <c r="O23">
        <v>0.67700000000000005</v>
      </c>
      <c r="P23">
        <v>1.2E-2</v>
      </c>
      <c r="Q23">
        <v>0.66100000000000003</v>
      </c>
      <c r="R23">
        <f t="shared" si="1"/>
        <v>0</v>
      </c>
      <c r="S23" t="b">
        <f t="shared" si="2"/>
        <v>0</v>
      </c>
    </row>
    <row r="24" spans="1:19" x14ac:dyDescent="0.45">
      <c r="A24">
        <f t="shared" si="3"/>
        <v>22</v>
      </c>
      <c r="B24" t="s">
        <v>8</v>
      </c>
      <c r="C24" t="s">
        <v>11</v>
      </c>
      <c r="D24" t="s">
        <v>13</v>
      </c>
      <c r="E24">
        <v>0.68700000000000006</v>
      </c>
      <c r="F24">
        <v>1.9E-2</v>
      </c>
      <c r="G24">
        <v>0.67300000000000004</v>
      </c>
      <c r="H24" s="8">
        <f t="shared" si="0"/>
        <v>0</v>
      </c>
      <c r="L24" t="s">
        <v>8</v>
      </c>
      <c r="M24" t="s">
        <v>11</v>
      </c>
      <c r="N24" t="s">
        <v>13</v>
      </c>
      <c r="O24">
        <v>0.68600000000000005</v>
      </c>
      <c r="P24">
        <v>1.4E-2</v>
      </c>
      <c r="Q24">
        <v>0.66900000000000004</v>
      </c>
      <c r="R24">
        <f t="shared" si="1"/>
        <v>0</v>
      </c>
      <c r="S24" t="b">
        <f t="shared" si="2"/>
        <v>0</v>
      </c>
    </row>
    <row r="25" spans="1:19" x14ac:dyDescent="0.45">
      <c r="A25">
        <f t="shared" si="3"/>
        <v>23</v>
      </c>
      <c r="B25" t="s">
        <v>8</v>
      </c>
      <c r="C25" t="s">
        <v>11</v>
      </c>
      <c r="D25" t="s">
        <v>14</v>
      </c>
      <c r="E25">
        <v>0.68700000000000006</v>
      </c>
      <c r="F25">
        <v>2.1999999999999999E-2</v>
      </c>
      <c r="G25">
        <v>0.68600000000000005</v>
      </c>
      <c r="H25" s="8">
        <f t="shared" si="0"/>
        <v>0</v>
      </c>
      <c r="L25" t="s">
        <v>8</v>
      </c>
      <c r="M25" t="s">
        <v>11</v>
      </c>
      <c r="N25" t="s">
        <v>14</v>
      </c>
      <c r="O25">
        <v>0.68799999999999994</v>
      </c>
      <c r="P25">
        <v>1.6E-2</v>
      </c>
      <c r="Q25">
        <v>0.67700000000000005</v>
      </c>
      <c r="R25">
        <f t="shared" si="1"/>
        <v>0</v>
      </c>
      <c r="S25" t="b">
        <f t="shared" si="2"/>
        <v>0</v>
      </c>
    </row>
    <row r="26" spans="1:19" x14ac:dyDescent="0.45">
      <c r="A26">
        <f t="shared" si="3"/>
        <v>24</v>
      </c>
      <c r="B26" t="s">
        <v>8</v>
      </c>
      <c r="C26" t="s">
        <v>11</v>
      </c>
      <c r="D26" t="s">
        <v>15</v>
      </c>
      <c r="E26">
        <v>0.68600000000000005</v>
      </c>
      <c r="F26">
        <v>1.7000000000000001E-2</v>
      </c>
      <c r="G26">
        <v>0.68</v>
      </c>
      <c r="H26" s="8">
        <f t="shared" si="0"/>
        <v>0</v>
      </c>
      <c r="L26" t="s">
        <v>8</v>
      </c>
      <c r="M26" t="s">
        <v>11</v>
      </c>
      <c r="N26" t="s">
        <v>15</v>
      </c>
      <c r="O26">
        <v>0.68700000000000006</v>
      </c>
      <c r="P26">
        <v>1.0999999999999999E-2</v>
      </c>
      <c r="Q26">
        <v>0.67300000000000004</v>
      </c>
      <c r="R26">
        <f t="shared" si="1"/>
        <v>0</v>
      </c>
      <c r="S26" t="b">
        <f t="shared" si="2"/>
        <v>0</v>
      </c>
    </row>
    <row r="27" spans="1:19" x14ac:dyDescent="0.45">
      <c r="A27">
        <f t="shared" si="3"/>
        <v>25</v>
      </c>
      <c r="B27" t="s">
        <v>9</v>
      </c>
      <c r="C27" t="s">
        <v>10</v>
      </c>
      <c r="D27" t="s">
        <v>12</v>
      </c>
      <c r="E27">
        <v>0.65600000000000003</v>
      </c>
      <c r="F27">
        <v>1.2E-2</v>
      </c>
      <c r="G27">
        <v>0.67</v>
      </c>
      <c r="H27" s="8">
        <f t="shared" si="0"/>
        <v>0</v>
      </c>
      <c r="L27" t="s">
        <v>9</v>
      </c>
      <c r="M27" t="s">
        <v>10</v>
      </c>
      <c r="N27" t="s">
        <v>12</v>
      </c>
      <c r="O27">
        <v>0.66700000000000004</v>
      </c>
      <c r="P27">
        <v>2.4E-2</v>
      </c>
      <c r="Q27">
        <v>0.66</v>
      </c>
      <c r="R27">
        <f t="shared" si="1"/>
        <v>1</v>
      </c>
      <c r="S27" t="b">
        <f t="shared" si="2"/>
        <v>0</v>
      </c>
    </row>
    <row r="28" spans="1:19" x14ac:dyDescent="0.45">
      <c r="A28">
        <f t="shared" si="3"/>
        <v>26</v>
      </c>
      <c r="B28" t="s">
        <v>9</v>
      </c>
      <c r="C28" t="s">
        <v>10</v>
      </c>
      <c r="D28" t="s">
        <v>13</v>
      </c>
      <c r="E28">
        <v>0.65700000000000003</v>
      </c>
      <c r="F28">
        <v>1.2999999999999999E-2</v>
      </c>
      <c r="G28">
        <v>0.66700000000000004</v>
      </c>
      <c r="H28" s="8">
        <f t="shared" si="0"/>
        <v>0</v>
      </c>
      <c r="L28" t="s">
        <v>9</v>
      </c>
      <c r="M28" t="s">
        <v>10</v>
      </c>
      <c r="N28" t="s">
        <v>13</v>
      </c>
      <c r="O28">
        <v>0.66600000000000004</v>
      </c>
      <c r="P28">
        <v>0.01</v>
      </c>
      <c r="Q28">
        <v>0.65100000000000002</v>
      </c>
      <c r="R28">
        <f t="shared" si="1"/>
        <v>0</v>
      </c>
      <c r="S28" t="b">
        <f t="shared" si="2"/>
        <v>0</v>
      </c>
    </row>
    <row r="29" spans="1:19" x14ac:dyDescent="0.45">
      <c r="A29">
        <f t="shared" si="3"/>
        <v>27</v>
      </c>
      <c r="B29" t="s">
        <v>9</v>
      </c>
      <c r="C29" t="s">
        <v>10</v>
      </c>
      <c r="D29" t="s">
        <v>14</v>
      </c>
      <c r="E29">
        <v>0.69</v>
      </c>
      <c r="F29">
        <v>3.1E-2</v>
      </c>
      <c r="G29">
        <v>0.71199999999999997</v>
      </c>
      <c r="H29" s="8">
        <f t="shared" si="0"/>
        <v>0</v>
      </c>
      <c r="L29" t="s">
        <v>9</v>
      </c>
      <c r="M29" t="s">
        <v>10</v>
      </c>
      <c r="N29" t="s">
        <v>14</v>
      </c>
      <c r="O29">
        <v>0.71199999999999997</v>
      </c>
      <c r="P29">
        <v>4.1000000000000002E-2</v>
      </c>
      <c r="Q29">
        <v>0.73099999999999998</v>
      </c>
      <c r="R29">
        <f t="shared" si="1"/>
        <v>0</v>
      </c>
      <c r="S29" t="b">
        <f t="shared" si="2"/>
        <v>1</v>
      </c>
    </row>
    <row r="30" spans="1:19" x14ac:dyDescent="0.45">
      <c r="A30">
        <f t="shared" si="3"/>
        <v>28</v>
      </c>
      <c r="B30" t="s">
        <v>9</v>
      </c>
      <c r="C30" t="s">
        <v>10</v>
      </c>
      <c r="D30" t="s">
        <v>15</v>
      </c>
      <c r="E30">
        <v>0.67300000000000004</v>
      </c>
      <c r="F30">
        <v>1.9E-2</v>
      </c>
      <c r="G30">
        <v>0.68899999999999995</v>
      </c>
      <c r="H30" s="8">
        <f t="shared" si="0"/>
        <v>1</v>
      </c>
      <c r="L30" t="s">
        <v>9</v>
      </c>
      <c r="M30" t="s">
        <v>10</v>
      </c>
      <c r="N30" t="s">
        <v>15</v>
      </c>
      <c r="O30">
        <v>0.68799999999999994</v>
      </c>
      <c r="P30">
        <v>2.3E-2</v>
      </c>
      <c r="Q30">
        <v>0.68899999999999995</v>
      </c>
      <c r="R30">
        <f t="shared" si="1"/>
        <v>0</v>
      </c>
      <c r="S30" t="b">
        <f t="shared" si="2"/>
        <v>0</v>
      </c>
    </row>
    <row r="31" spans="1:19" x14ac:dyDescent="0.45">
      <c r="A31">
        <f t="shared" si="3"/>
        <v>29</v>
      </c>
      <c r="B31" t="s">
        <v>9</v>
      </c>
      <c r="C31" t="s">
        <v>11</v>
      </c>
      <c r="D31" t="s">
        <v>12</v>
      </c>
      <c r="E31">
        <v>0.63200000000000001</v>
      </c>
      <c r="F31">
        <v>1.2999999999999999E-2</v>
      </c>
      <c r="G31">
        <v>0.622</v>
      </c>
      <c r="H31" s="8">
        <f t="shared" si="0"/>
        <v>0</v>
      </c>
      <c r="L31" t="s">
        <v>9</v>
      </c>
      <c r="M31" t="s">
        <v>11</v>
      </c>
      <c r="N31" t="s">
        <v>12</v>
      </c>
      <c r="O31">
        <v>0.64400000000000002</v>
      </c>
      <c r="P31">
        <v>2.1999999999999999E-2</v>
      </c>
      <c r="Q31">
        <v>0.64400000000000002</v>
      </c>
      <c r="R31">
        <f t="shared" si="1"/>
        <v>0</v>
      </c>
      <c r="S31" t="b">
        <f t="shared" si="2"/>
        <v>1</v>
      </c>
    </row>
    <row r="32" spans="1:19" x14ac:dyDescent="0.45">
      <c r="A32">
        <f t="shared" si="3"/>
        <v>30</v>
      </c>
      <c r="B32" t="s">
        <v>9</v>
      </c>
      <c r="C32" t="s">
        <v>11</v>
      </c>
      <c r="D32" t="s">
        <v>13</v>
      </c>
      <c r="E32">
        <v>0.627</v>
      </c>
      <c r="F32">
        <v>1.2999999999999999E-2</v>
      </c>
      <c r="G32">
        <v>0.61799999999999999</v>
      </c>
      <c r="H32" s="8">
        <f t="shared" si="0"/>
        <v>0</v>
      </c>
      <c r="L32" t="s">
        <v>9</v>
      </c>
      <c r="M32" t="s">
        <v>11</v>
      </c>
      <c r="N32" t="s">
        <v>13</v>
      </c>
      <c r="O32">
        <v>0.63700000000000001</v>
      </c>
      <c r="P32">
        <v>1.7000000000000001E-2</v>
      </c>
      <c r="Q32">
        <v>0.63600000000000001</v>
      </c>
      <c r="R32">
        <f t="shared" si="1"/>
        <v>0</v>
      </c>
      <c r="S32" t="b">
        <f t="shared" si="2"/>
        <v>1</v>
      </c>
    </row>
    <row r="33" spans="1:19" x14ac:dyDescent="0.45">
      <c r="A33">
        <f t="shared" si="3"/>
        <v>31</v>
      </c>
      <c r="B33" t="s">
        <v>9</v>
      </c>
      <c r="C33" t="s">
        <v>11</v>
      </c>
      <c r="D33" t="s">
        <v>14</v>
      </c>
      <c r="E33">
        <v>0.70299999999999996</v>
      </c>
      <c r="F33">
        <v>0.03</v>
      </c>
      <c r="G33">
        <v>0.69</v>
      </c>
      <c r="H33" s="8">
        <f t="shared" si="0"/>
        <v>0</v>
      </c>
      <c r="L33" t="s">
        <v>9</v>
      </c>
      <c r="M33" t="s">
        <v>11</v>
      </c>
      <c r="N33" t="s">
        <v>14</v>
      </c>
      <c r="O33">
        <v>0.71799999999999997</v>
      </c>
      <c r="P33">
        <v>4.1000000000000002E-2</v>
      </c>
      <c r="Q33">
        <v>0.72299999999999998</v>
      </c>
      <c r="R33">
        <f t="shared" si="1"/>
        <v>0</v>
      </c>
      <c r="S33" t="b">
        <f t="shared" si="2"/>
        <v>1</v>
      </c>
    </row>
    <row r="34" spans="1:19" x14ac:dyDescent="0.45">
      <c r="A34">
        <f t="shared" si="3"/>
        <v>32</v>
      </c>
      <c r="B34" t="s">
        <v>9</v>
      </c>
      <c r="C34" t="s">
        <v>11</v>
      </c>
      <c r="D34" t="s">
        <v>15</v>
      </c>
      <c r="E34">
        <v>0.66200000000000003</v>
      </c>
      <c r="F34">
        <v>1.4E-2</v>
      </c>
      <c r="G34">
        <v>0.65200000000000002</v>
      </c>
      <c r="H34" s="8">
        <f t="shared" si="0"/>
        <v>0</v>
      </c>
      <c r="L34" t="s">
        <v>9</v>
      </c>
      <c r="M34" t="s">
        <v>11</v>
      </c>
      <c r="N34" t="s">
        <v>15</v>
      </c>
      <c r="O34">
        <v>0.67500000000000004</v>
      </c>
      <c r="P34">
        <v>2.1000000000000001E-2</v>
      </c>
      <c r="Q34">
        <v>0.67700000000000005</v>
      </c>
      <c r="R34">
        <f t="shared" si="1"/>
        <v>0</v>
      </c>
      <c r="S34" t="b">
        <f t="shared" si="2"/>
        <v>1</v>
      </c>
    </row>
    <row r="35" spans="1:19" x14ac:dyDescent="0.45">
      <c r="A35">
        <f t="shared" si="3"/>
        <v>33</v>
      </c>
      <c r="B35" t="s">
        <v>17</v>
      </c>
      <c r="C35" t="s">
        <v>10</v>
      </c>
      <c r="D35" t="s">
        <v>12</v>
      </c>
      <c r="E35">
        <v>0.78400000000000003</v>
      </c>
      <c r="F35">
        <v>6.0000000000000001E-3</v>
      </c>
      <c r="G35">
        <v>0.76800000000000002</v>
      </c>
      <c r="H35" s="8">
        <f t="shared" si="0"/>
        <v>0</v>
      </c>
      <c r="L35" t="s">
        <v>17</v>
      </c>
      <c r="M35" t="s">
        <v>10</v>
      </c>
      <c r="N35" t="s">
        <v>12</v>
      </c>
      <c r="O35">
        <v>0.78400000000000003</v>
      </c>
      <c r="P35">
        <v>1.2E-2</v>
      </c>
      <c r="Q35">
        <v>0.76800000000000002</v>
      </c>
      <c r="R35">
        <f t="shared" si="1"/>
        <v>1</v>
      </c>
      <c r="S35" t="b">
        <f t="shared" si="2"/>
        <v>0</v>
      </c>
    </row>
    <row r="36" spans="1:19" x14ac:dyDescent="0.45">
      <c r="A36">
        <f t="shared" si="3"/>
        <v>34</v>
      </c>
      <c r="B36" t="s">
        <v>17</v>
      </c>
      <c r="C36" t="s">
        <v>10</v>
      </c>
      <c r="D36" t="s">
        <v>13</v>
      </c>
      <c r="E36">
        <v>0.82099999999999995</v>
      </c>
      <c r="F36">
        <v>1.4E-2</v>
      </c>
      <c r="G36">
        <v>0.78300000000000003</v>
      </c>
      <c r="H36" s="8">
        <f t="shared" si="0"/>
        <v>0</v>
      </c>
      <c r="L36" t="s">
        <v>17</v>
      </c>
      <c r="M36" t="s">
        <v>10</v>
      </c>
      <c r="N36" t="s">
        <v>13</v>
      </c>
      <c r="O36">
        <v>0.81799999999999995</v>
      </c>
      <c r="P36">
        <v>2.5999999999999999E-2</v>
      </c>
      <c r="Q36">
        <v>0.80100000000000005</v>
      </c>
      <c r="R36">
        <f t="shared" si="1"/>
        <v>0</v>
      </c>
      <c r="S36" t="b">
        <f t="shared" si="2"/>
        <v>1</v>
      </c>
    </row>
    <row r="37" spans="1:19" x14ac:dyDescent="0.45">
      <c r="A37">
        <f t="shared" si="3"/>
        <v>35</v>
      </c>
      <c r="B37" t="s">
        <v>17</v>
      </c>
      <c r="C37" t="s">
        <v>10</v>
      </c>
      <c r="D37" t="s">
        <v>14</v>
      </c>
      <c r="E37">
        <v>0.73899999999999999</v>
      </c>
      <c r="F37">
        <v>1.7000000000000001E-2</v>
      </c>
      <c r="G37">
        <v>0.75800000000000001</v>
      </c>
      <c r="H37" s="8">
        <f t="shared" si="0"/>
        <v>0</v>
      </c>
      <c r="L37" t="s">
        <v>17</v>
      </c>
      <c r="M37" t="s">
        <v>10</v>
      </c>
      <c r="N37" t="s">
        <v>14</v>
      </c>
      <c r="O37">
        <v>0.748</v>
      </c>
      <c r="P37">
        <v>2.8000000000000001E-2</v>
      </c>
      <c r="Q37">
        <v>0.73099999999999998</v>
      </c>
      <c r="R37">
        <f t="shared" si="1"/>
        <v>0</v>
      </c>
      <c r="S37" t="b">
        <f t="shared" si="2"/>
        <v>0</v>
      </c>
    </row>
    <row r="38" spans="1:19" s="1" customFormat="1" x14ac:dyDescent="0.45">
      <c r="A38" s="1">
        <f t="shared" si="3"/>
        <v>36</v>
      </c>
      <c r="B38" s="1" t="s">
        <v>17</v>
      </c>
      <c r="C38" s="1" t="s">
        <v>10</v>
      </c>
      <c r="D38" s="1" t="s">
        <v>15</v>
      </c>
      <c r="E38" s="1">
        <v>0.77800000000000002</v>
      </c>
      <c r="F38" s="1">
        <v>1.0999999999999999E-2</v>
      </c>
      <c r="G38" s="1">
        <v>0.77</v>
      </c>
      <c r="H38" s="9">
        <f t="shared" si="0"/>
        <v>1</v>
      </c>
      <c r="L38" s="1" t="s">
        <v>17</v>
      </c>
      <c r="M38" s="1" t="s">
        <v>10</v>
      </c>
      <c r="N38" s="1" t="s">
        <v>15</v>
      </c>
      <c r="O38" s="1">
        <v>0.78100000000000003</v>
      </c>
      <c r="P38" s="1">
        <v>1.2999999999999999E-2</v>
      </c>
      <c r="Q38" s="1">
        <v>0.76500000000000001</v>
      </c>
      <c r="R38" s="1">
        <f t="shared" si="1"/>
        <v>0</v>
      </c>
      <c r="S38" s="1" t="b">
        <f t="shared" si="2"/>
        <v>0</v>
      </c>
    </row>
    <row r="39" spans="1:19" x14ac:dyDescent="0.45">
      <c r="A39">
        <f t="shared" si="3"/>
        <v>37</v>
      </c>
      <c r="B39" t="s">
        <v>17</v>
      </c>
      <c r="C39" t="s">
        <v>18</v>
      </c>
      <c r="D39" t="s">
        <v>12</v>
      </c>
      <c r="E39">
        <v>0.78400000000000003</v>
      </c>
      <c r="F39">
        <v>6.0000000000000001E-3</v>
      </c>
      <c r="G39">
        <v>0.76800000000000002</v>
      </c>
      <c r="H39" s="8">
        <f t="shared" si="0"/>
        <v>0</v>
      </c>
      <c r="L39" t="s">
        <v>17</v>
      </c>
      <c r="M39" t="s">
        <v>18</v>
      </c>
      <c r="N39" t="s">
        <v>12</v>
      </c>
      <c r="O39">
        <v>0.78400000000000003</v>
      </c>
      <c r="P39">
        <v>1.2E-2</v>
      </c>
      <c r="Q39">
        <v>0.76800000000000002</v>
      </c>
      <c r="R39">
        <f t="shared" si="1"/>
        <v>0</v>
      </c>
      <c r="S39" t="b">
        <f t="shared" si="2"/>
        <v>0</v>
      </c>
    </row>
    <row r="40" spans="1:19" x14ac:dyDescent="0.45">
      <c r="A40">
        <f t="shared" si="3"/>
        <v>38</v>
      </c>
      <c r="B40" t="s">
        <v>17</v>
      </c>
      <c r="C40" t="s">
        <v>18</v>
      </c>
      <c r="D40" t="s">
        <v>13</v>
      </c>
      <c r="E40">
        <v>0.82099999999999995</v>
      </c>
      <c r="F40">
        <v>1.4E-2</v>
      </c>
      <c r="G40">
        <v>0.78300000000000003</v>
      </c>
      <c r="H40" s="8">
        <f t="shared" si="0"/>
        <v>0</v>
      </c>
      <c r="L40" t="s">
        <v>17</v>
      </c>
      <c r="M40" t="s">
        <v>18</v>
      </c>
      <c r="N40" t="s">
        <v>13</v>
      </c>
      <c r="O40">
        <v>0.81799999999999995</v>
      </c>
      <c r="P40">
        <v>2.5999999999999999E-2</v>
      </c>
      <c r="Q40">
        <v>0.80100000000000005</v>
      </c>
      <c r="R40">
        <f t="shared" si="1"/>
        <v>0</v>
      </c>
      <c r="S40" t="b">
        <f t="shared" si="2"/>
        <v>1</v>
      </c>
    </row>
    <row r="41" spans="1:19" x14ac:dyDescent="0.45">
      <c r="A41">
        <f t="shared" si="3"/>
        <v>39</v>
      </c>
      <c r="B41" t="s">
        <v>17</v>
      </c>
      <c r="C41" t="s">
        <v>18</v>
      </c>
      <c r="D41" t="s">
        <v>14</v>
      </c>
      <c r="E41">
        <v>0.73899999999999999</v>
      </c>
      <c r="F41">
        <v>1.7000000000000001E-2</v>
      </c>
      <c r="G41">
        <v>0.75800000000000001</v>
      </c>
      <c r="H41" s="8">
        <f t="shared" si="0"/>
        <v>0</v>
      </c>
      <c r="L41" t="s">
        <v>17</v>
      </c>
      <c r="M41" t="s">
        <v>18</v>
      </c>
      <c r="N41" t="s">
        <v>14</v>
      </c>
      <c r="O41">
        <v>0.748</v>
      </c>
      <c r="P41">
        <v>2.8000000000000001E-2</v>
      </c>
      <c r="Q41">
        <v>0.73099999999999998</v>
      </c>
      <c r="R41">
        <f t="shared" si="1"/>
        <v>0</v>
      </c>
      <c r="S41" t="b">
        <f t="shared" si="2"/>
        <v>0</v>
      </c>
    </row>
    <row r="42" spans="1:19" x14ac:dyDescent="0.45">
      <c r="A42">
        <f t="shared" si="3"/>
        <v>40</v>
      </c>
      <c r="B42" t="s">
        <v>17</v>
      </c>
      <c r="C42" t="s">
        <v>18</v>
      </c>
      <c r="D42" t="s">
        <v>15</v>
      </c>
      <c r="E42">
        <v>0.77800000000000002</v>
      </c>
      <c r="F42">
        <v>1.0999999999999999E-2</v>
      </c>
      <c r="G42">
        <v>0.77</v>
      </c>
      <c r="H42" s="8">
        <f t="shared" si="0"/>
        <v>0</v>
      </c>
      <c r="L42" t="s">
        <v>17</v>
      </c>
      <c r="M42" t="s">
        <v>18</v>
      </c>
      <c r="N42" t="s">
        <v>15</v>
      </c>
      <c r="O42">
        <v>0.78100000000000003</v>
      </c>
      <c r="P42">
        <v>1.2999999999999999E-2</v>
      </c>
      <c r="Q42">
        <v>0.76500000000000001</v>
      </c>
      <c r="R42">
        <f t="shared" si="1"/>
        <v>0</v>
      </c>
      <c r="S42" t="b">
        <f t="shared" si="2"/>
        <v>0</v>
      </c>
    </row>
    <row r="43" spans="1:19" x14ac:dyDescent="0.45">
      <c r="A43">
        <f t="shared" si="3"/>
        <v>41</v>
      </c>
      <c r="B43" t="s">
        <v>19</v>
      </c>
      <c r="C43" t="s">
        <v>10</v>
      </c>
      <c r="D43" t="s">
        <v>12</v>
      </c>
      <c r="E43">
        <v>0.80400000000000005</v>
      </c>
      <c r="F43">
        <v>5.0000000000000001E-3</v>
      </c>
      <c r="G43">
        <v>0.78</v>
      </c>
      <c r="H43" s="8">
        <f t="shared" si="0"/>
        <v>0</v>
      </c>
      <c r="L43" t="s">
        <v>19</v>
      </c>
      <c r="M43" t="s">
        <v>10</v>
      </c>
      <c r="N43" t="s">
        <v>12</v>
      </c>
      <c r="O43">
        <v>0.80100000000000005</v>
      </c>
      <c r="P43">
        <v>8.0000000000000002E-3</v>
      </c>
      <c r="Q43">
        <v>0.78600000000000003</v>
      </c>
      <c r="R43">
        <f t="shared" si="1"/>
        <v>1</v>
      </c>
      <c r="S43" t="b">
        <f t="shared" si="2"/>
        <v>1</v>
      </c>
    </row>
    <row r="44" spans="1:19" x14ac:dyDescent="0.45">
      <c r="A44">
        <f t="shared" si="3"/>
        <v>42</v>
      </c>
      <c r="B44" t="s">
        <v>19</v>
      </c>
      <c r="C44" t="s">
        <v>10</v>
      </c>
      <c r="D44" t="s">
        <v>13</v>
      </c>
      <c r="E44">
        <v>0.85499999999999998</v>
      </c>
      <c r="F44">
        <v>1.4999999999999999E-2</v>
      </c>
      <c r="G44">
        <v>0.80800000000000005</v>
      </c>
      <c r="H44" s="8">
        <f t="shared" si="0"/>
        <v>0</v>
      </c>
      <c r="L44" t="s">
        <v>19</v>
      </c>
      <c r="M44" t="s">
        <v>10</v>
      </c>
      <c r="N44" t="s">
        <v>13</v>
      </c>
      <c r="O44">
        <v>0.85</v>
      </c>
      <c r="P44">
        <v>1.7999999999999999E-2</v>
      </c>
      <c r="Q44">
        <v>0.81799999999999995</v>
      </c>
      <c r="R44">
        <f t="shared" si="1"/>
        <v>0</v>
      </c>
      <c r="S44" t="b">
        <f t="shared" si="2"/>
        <v>1</v>
      </c>
    </row>
    <row r="45" spans="1:19" x14ac:dyDescent="0.45">
      <c r="A45">
        <f t="shared" si="3"/>
        <v>43</v>
      </c>
      <c r="B45" t="s">
        <v>19</v>
      </c>
      <c r="C45" t="s">
        <v>10</v>
      </c>
      <c r="D45" t="s">
        <v>14</v>
      </c>
      <c r="E45">
        <v>0.74299999999999999</v>
      </c>
      <c r="F45">
        <v>1.6E-2</v>
      </c>
      <c r="G45">
        <v>0.749</v>
      </c>
      <c r="H45" s="8">
        <f t="shared" si="0"/>
        <v>0</v>
      </c>
      <c r="L45" t="s">
        <v>19</v>
      </c>
      <c r="M45" t="s">
        <v>10</v>
      </c>
      <c r="N45" t="s">
        <v>14</v>
      </c>
      <c r="O45">
        <v>0.747</v>
      </c>
      <c r="P45">
        <v>2.8000000000000001E-2</v>
      </c>
      <c r="Q45">
        <v>0.752</v>
      </c>
      <c r="R45">
        <f t="shared" si="1"/>
        <v>0</v>
      </c>
      <c r="S45" t="b">
        <f t="shared" si="2"/>
        <v>1</v>
      </c>
    </row>
    <row r="46" spans="1:19" s="1" customFormat="1" x14ac:dyDescent="0.45">
      <c r="A46" s="1">
        <f t="shared" si="3"/>
        <v>44</v>
      </c>
      <c r="B46" s="1" t="s">
        <v>19</v>
      </c>
      <c r="C46" s="1" t="s">
        <v>10</v>
      </c>
      <c r="D46" s="1" t="s">
        <v>15</v>
      </c>
      <c r="E46" s="1">
        <v>0.79500000000000004</v>
      </c>
      <c r="F46" s="1">
        <v>8.9999999999999993E-3</v>
      </c>
      <c r="G46" s="1">
        <v>0.77700000000000002</v>
      </c>
      <c r="H46" s="9">
        <f t="shared" si="0"/>
        <v>1</v>
      </c>
      <c r="L46" s="1" t="s">
        <v>19</v>
      </c>
      <c r="M46" s="1" t="s">
        <v>10</v>
      </c>
      <c r="N46" s="1" t="s">
        <v>15</v>
      </c>
      <c r="O46" s="1">
        <v>0.79500000000000004</v>
      </c>
      <c r="P46" s="1">
        <v>8.9999999999999993E-3</v>
      </c>
      <c r="Q46" s="1">
        <v>0.78300000000000003</v>
      </c>
      <c r="R46" s="1">
        <f t="shared" si="1"/>
        <v>0</v>
      </c>
      <c r="S46" s="1" t="b">
        <f t="shared" si="2"/>
        <v>1</v>
      </c>
    </row>
    <row r="47" spans="1:19" x14ac:dyDescent="0.45">
      <c r="A47">
        <f t="shared" si="3"/>
        <v>45</v>
      </c>
      <c r="B47" t="s">
        <v>19</v>
      </c>
      <c r="C47" t="s">
        <v>18</v>
      </c>
      <c r="D47" t="s">
        <v>12</v>
      </c>
      <c r="E47">
        <v>0.80400000000000005</v>
      </c>
      <c r="F47">
        <v>5.0000000000000001E-3</v>
      </c>
      <c r="G47">
        <v>0.78</v>
      </c>
      <c r="H47" s="8">
        <f t="shared" si="0"/>
        <v>0</v>
      </c>
      <c r="L47" t="s">
        <v>19</v>
      </c>
      <c r="M47" t="s">
        <v>18</v>
      </c>
      <c r="N47" t="s">
        <v>12</v>
      </c>
      <c r="O47">
        <v>0.80100000000000005</v>
      </c>
      <c r="P47">
        <v>8.0000000000000002E-3</v>
      </c>
      <c r="Q47">
        <v>0.78600000000000003</v>
      </c>
      <c r="R47">
        <f t="shared" si="1"/>
        <v>0</v>
      </c>
      <c r="S47" t="b">
        <f t="shared" si="2"/>
        <v>1</v>
      </c>
    </row>
    <row r="48" spans="1:19" x14ac:dyDescent="0.45">
      <c r="A48">
        <f t="shared" si="3"/>
        <v>46</v>
      </c>
      <c r="B48" t="s">
        <v>19</v>
      </c>
      <c r="C48" t="s">
        <v>18</v>
      </c>
      <c r="D48" t="s">
        <v>13</v>
      </c>
      <c r="E48">
        <v>0.85499999999999998</v>
      </c>
      <c r="F48">
        <v>1.4999999999999999E-2</v>
      </c>
      <c r="G48">
        <v>0.80800000000000005</v>
      </c>
      <c r="H48" s="8">
        <f t="shared" si="0"/>
        <v>0</v>
      </c>
      <c r="L48" t="s">
        <v>19</v>
      </c>
      <c r="M48" t="s">
        <v>18</v>
      </c>
      <c r="N48" t="s">
        <v>13</v>
      </c>
      <c r="O48">
        <v>0.85</v>
      </c>
      <c r="P48">
        <v>1.7999999999999999E-2</v>
      </c>
      <c r="Q48">
        <v>0.81799999999999995</v>
      </c>
      <c r="R48">
        <f t="shared" si="1"/>
        <v>0</v>
      </c>
      <c r="S48" t="b">
        <f t="shared" si="2"/>
        <v>1</v>
      </c>
    </row>
    <row r="49" spans="1:19" x14ac:dyDescent="0.45">
      <c r="A49">
        <f t="shared" si="3"/>
        <v>47</v>
      </c>
      <c r="B49" t="s">
        <v>19</v>
      </c>
      <c r="C49" t="s">
        <v>18</v>
      </c>
      <c r="D49" t="s">
        <v>14</v>
      </c>
      <c r="E49">
        <v>0.74299999999999999</v>
      </c>
      <c r="F49">
        <v>1.6E-2</v>
      </c>
      <c r="G49">
        <v>0.749</v>
      </c>
      <c r="H49" s="8">
        <f t="shared" si="0"/>
        <v>0</v>
      </c>
      <c r="L49" t="s">
        <v>19</v>
      </c>
      <c r="M49" t="s">
        <v>18</v>
      </c>
      <c r="N49" t="s">
        <v>14</v>
      </c>
      <c r="O49">
        <v>0.747</v>
      </c>
      <c r="P49">
        <v>2.8000000000000001E-2</v>
      </c>
      <c r="Q49">
        <v>0.752</v>
      </c>
      <c r="R49">
        <f t="shared" si="1"/>
        <v>0</v>
      </c>
      <c r="S49" t="b">
        <f t="shared" si="2"/>
        <v>1</v>
      </c>
    </row>
    <row r="50" spans="1:19" x14ac:dyDescent="0.45">
      <c r="A50">
        <f t="shared" si="3"/>
        <v>48</v>
      </c>
      <c r="B50" t="s">
        <v>19</v>
      </c>
      <c r="C50" t="s">
        <v>18</v>
      </c>
      <c r="D50" t="s">
        <v>15</v>
      </c>
      <c r="E50">
        <v>0.79500000000000004</v>
      </c>
      <c r="F50">
        <v>8.9999999999999993E-3</v>
      </c>
      <c r="G50">
        <v>0.77700000000000002</v>
      </c>
      <c r="H50" s="8">
        <f t="shared" si="0"/>
        <v>0</v>
      </c>
      <c r="L50" t="s">
        <v>19</v>
      </c>
      <c r="M50" t="s">
        <v>18</v>
      </c>
      <c r="N50" t="s">
        <v>15</v>
      </c>
      <c r="O50">
        <v>0.79500000000000004</v>
      </c>
      <c r="P50">
        <v>8.9999999999999993E-3</v>
      </c>
      <c r="Q50">
        <v>0.78300000000000003</v>
      </c>
      <c r="R50">
        <f t="shared" si="1"/>
        <v>0</v>
      </c>
      <c r="S50" t="b">
        <f t="shared" si="2"/>
        <v>1</v>
      </c>
    </row>
    <row r="51" spans="1:19" x14ac:dyDescent="0.45">
      <c r="A51">
        <f t="shared" si="3"/>
        <v>49</v>
      </c>
      <c r="B51" t="s">
        <v>20</v>
      </c>
      <c r="C51" t="s">
        <v>10</v>
      </c>
      <c r="D51" t="s">
        <v>12</v>
      </c>
      <c r="E51">
        <v>0.78900000000000003</v>
      </c>
      <c r="F51">
        <v>0.01</v>
      </c>
      <c r="G51">
        <v>0.77300000000000002</v>
      </c>
      <c r="H51" s="8">
        <f t="shared" si="0"/>
        <v>0</v>
      </c>
      <c r="L51" t="s">
        <v>20</v>
      </c>
      <c r="M51" t="s">
        <v>10</v>
      </c>
      <c r="N51" t="s">
        <v>12</v>
      </c>
      <c r="O51">
        <v>0.78700000000000003</v>
      </c>
      <c r="P51">
        <v>1.2999999999999999E-2</v>
      </c>
      <c r="Q51">
        <v>0.77400000000000002</v>
      </c>
      <c r="R51">
        <f t="shared" si="1"/>
        <v>1</v>
      </c>
      <c r="S51" t="b">
        <f t="shared" si="2"/>
        <v>1</v>
      </c>
    </row>
    <row r="52" spans="1:19" x14ac:dyDescent="0.45">
      <c r="A52">
        <f t="shared" si="3"/>
        <v>50</v>
      </c>
      <c r="B52" t="s">
        <v>20</v>
      </c>
      <c r="C52" t="s">
        <v>10</v>
      </c>
      <c r="D52" t="s">
        <v>13</v>
      </c>
      <c r="E52">
        <v>0.82099999999999995</v>
      </c>
      <c r="F52">
        <v>1.2999999999999999E-2</v>
      </c>
      <c r="G52">
        <v>0.79200000000000004</v>
      </c>
      <c r="H52" s="8">
        <f t="shared" si="0"/>
        <v>0</v>
      </c>
      <c r="L52" t="s">
        <v>20</v>
      </c>
      <c r="M52" t="s">
        <v>10</v>
      </c>
      <c r="N52" t="s">
        <v>13</v>
      </c>
      <c r="O52">
        <v>0.82299999999999995</v>
      </c>
      <c r="P52">
        <v>0.03</v>
      </c>
      <c r="Q52">
        <v>0.80600000000000005</v>
      </c>
      <c r="R52">
        <f t="shared" si="1"/>
        <v>0</v>
      </c>
      <c r="S52" t="b">
        <f t="shared" si="2"/>
        <v>1</v>
      </c>
    </row>
    <row r="53" spans="1:19" x14ac:dyDescent="0.45">
      <c r="A53">
        <f t="shared" si="3"/>
        <v>51</v>
      </c>
      <c r="B53" t="s">
        <v>20</v>
      </c>
      <c r="C53" t="s">
        <v>10</v>
      </c>
      <c r="D53" t="s">
        <v>14</v>
      </c>
      <c r="E53">
        <v>0.754</v>
      </c>
      <c r="F53">
        <v>8.9999999999999993E-3</v>
      </c>
      <c r="G53">
        <v>0.75600000000000001</v>
      </c>
      <c r="H53" s="8">
        <f t="shared" si="0"/>
        <v>0</v>
      </c>
      <c r="L53" t="s">
        <v>20</v>
      </c>
      <c r="M53" t="s">
        <v>10</v>
      </c>
      <c r="N53" t="s">
        <v>14</v>
      </c>
      <c r="O53">
        <v>0.748</v>
      </c>
      <c r="P53">
        <v>1.7999999999999999E-2</v>
      </c>
      <c r="Q53">
        <v>0.73899999999999999</v>
      </c>
      <c r="R53">
        <f t="shared" si="1"/>
        <v>0</v>
      </c>
      <c r="S53" t="b">
        <f t="shared" si="2"/>
        <v>0</v>
      </c>
    </row>
    <row r="54" spans="1:19" x14ac:dyDescent="0.45">
      <c r="A54">
        <f t="shared" si="3"/>
        <v>52</v>
      </c>
      <c r="B54" t="s">
        <v>20</v>
      </c>
      <c r="C54" t="s">
        <v>10</v>
      </c>
      <c r="D54" t="s">
        <v>15</v>
      </c>
      <c r="E54">
        <v>0.78600000000000003</v>
      </c>
      <c r="F54">
        <v>8.9999999999999993E-3</v>
      </c>
      <c r="G54">
        <v>0.77400000000000002</v>
      </c>
      <c r="H54" s="8">
        <f t="shared" si="0"/>
        <v>1</v>
      </c>
      <c r="L54" t="s">
        <v>20</v>
      </c>
      <c r="M54" t="s">
        <v>10</v>
      </c>
      <c r="N54" t="s">
        <v>15</v>
      </c>
      <c r="O54">
        <v>0.78300000000000003</v>
      </c>
      <c r="P54">
        <v>1.2999999999999999E-2</v>
      </c>
      <c r="Q54">
        <v>0.77100000000000002</v>
      </c>
      <c r="R54">
        <f t="shared" si="1"/>
        <v>0</v>
      </c>
      <c r="S54" t="b">
        <f t="shared" si="2"/>
        <v>0</v>
      </c>
    </row>
    <row r="55" spans="1:19" x14ac:dyDescent="0.45">
      <c r="A55">
        <f t="shared" si="3"/>
        <v>53</v>
      </c>
      <c r="B55" t="s">
        <v>20</v>
      </c>
      <c r="C55" t="s">
        <v>18</v>
      </c>
      <c r="D55" t="s">
        <v>12</v>
      </c>
      <c r="E55">
        <v>0.78900000000000003</v>
      </c>
      <c r="F55">
        <v>0.01</v>
      </c>
      <c r="G55">
        <v>0.77300000000000002</v>
      </c>
      <c r="H55" s="8">
        <f t="shared" si="0"/>
        <v>0</v>
      </c>
      <c r="L55" t="s">
        <v>20</v>
      </c>
      <c r="M55" t="s">
        <v>18</v>
      </c>
      <c r="N55" t="s">
        <v>12</v>
      </c>
      <c r="O55">
        <v>0.78700000000000003</v>
      </c>
      <c r="P55">
        <v>1.2999999999999999E-2</v>
      </c>
      <c r="Q55">
        <v>0.77400000000000002</v>
      </c>
      <c r="R55">
        <f t="shared" si="1"/>
        <v>0</v>
      </c>
      <c r="S55" t="b">
        <f t="shared" si="2"/>
        <v>1</v>
      </c>
    </row>
    <row r="56" spans="1:19" x14ac:dyDescent="0.45">
      <c r="A56">
        <f t="shared" si="3"/>
        <v>54</v>
      </c>
      <c r="B56" t="s">
        <v>20</v>
      </c>
      <c r="C56" t="s">
        <v>18</v>
      </c>
      <c r="D56" t="s">
        <v>13</v>
      </c>
      <c r="E56">
        <v>0.82099999999999995</v>
      </c>
      <c r="F56">
        <v>1.2999999999999999E-2</v>
      </c>
      <c r="G56">
        <v>0.79200000000000004</v>
      </c>
      <c r="H56" s="8">
        <f t="shared" si="0"/>
        <v>0</v>
      </c>
      <c r="L56" t="s">
        <v>20</v>
      </c>
      <c r="M56" t="s">
        <v>18</v>
      </c>
      <c r="N56" t="s">
        <v>13</v>
      </c>
      <c r="O56">
        <v>0.82299999999999995</v>
      </c>
      <c r="P56">
        <v>0.03</v>
      </c>
      <c r="Q56">
        <v>0.80600000000000005</v>
      </c>
      <c r="R56">
        <f t="shared" si="1"/>
        <v>0</v>
      </c>
      <c r="S56" t="b">
        <f t="shared" si="2"/>
        <v>1</v>
      </c>
    </row>
    <row r="57" spans="1:19" x14ac:dyDescent="0.45">
      <c r="A57">
        <f t="shared" si="3"/>
        <v>55</v>
      </c>
      <c r="B57" t="s">
        <v>20</v>
      </c>
      <c r="C57" t="s">
        <v>18</v>
      </c>
      <c r="D57" t="s">
        <v>14</v>
      </c>
      <c r="E57">
        <v>0.754</v>
      </c>
      <c r="F57">
        <v>8.9999999999999993E-3</v>
      </c>
      <c r="G57">
        <v>0.75600000000000001</v>
      </c>
      <c r="H57" s="8">
        <f t="shared" si="0"/>
        <v>0</v>
      </c>
      <c r="L57" t="s">
        <v>20</v>
      </c>
      <c r="M57" t="s">
        <v>18</v>
      </c>
      <c r="N57" t="s">
        <v>14</v>
      </c>
      <c r="O57">
        <v>0.748</v>
      </c>
      <c r="P57">
        <v>1.7999999999999999E-2</v>
      </c>
      <c r="Q57">
        <v>0.73899999999999999</v>
      </c>
      <c r="R57">
        <f t="shared" si="1"/>
        <v>0</v>
      </c>
      <c r="S57" t="b">
        <f t="shared" si="2"/>
        <v>0</v>
      </c>
    </row>
    <row r="58" spans="1:19" x14ac:dyDescent="0.45">
      <c r="A58">
        <f t="shared" si="3"/>
        <v>56</v>
      </c>
      <c r="B58" t="s">
        <v>20</v>
      </c>
      <c r="C58" t="s">
        <v>18</v>
      </c>
      <c r="D58" t="s">
        <v>15</v>
      </c>
      <c r="E58">
        <v>0.78600000000000003</v>
      </c>
      <c r="F58">
        <v>8.9999999999999993E-3</v>
      </c>
      <c r="G58">
        <v>0.77400000000000002</v>
      </c>
      <c r="H58" s="8">
        <f t="shared" si="0"/>
        <v>0</v>
      </c>
      <c r="L58" t="s">
        <v>20</v>
      </c>
      <c r="M58" t="s">
        <v>18</v>
      </c>
      <c r="N58" t="s">
        <v>15</v>
      </c>
      <c r="O58">
        <v>0.78300000000000003</v>
      </c>
      <c r="P58">
        <v>1.2999999999999999E-2</v>
      </c>
      <c r="Q58">
        <v>0.77100000000000002</v>
      </c>
      <c r="R58">
        <f t="shared" si="1"/>
        <v>0</v>
      </c>
      <c r="S58" t="b">
        <f t="shared" si="2"/>
        <v>0</v>
      </c>
    </row>
    <row r="59" spans="1:19" x14ac:dyDescent="0.45">
      <c r="A59">
        <f t="shared" si="3"/>
        <v>57</v>
      </c>
      <c r="B59" t="s">
        <v>21</v>
      </c>
      <c r="C59" t="s">
        <v>10</v>
      </c>
      <c r="D59" t="s">
        <v>12</v>
      </c>
      <c r="E59">
        <v>0.79500000000000004</v>
      </c>
      <c r="F59">
        <v>1.0999999999999999E-2</v>
      </c>
      <c r="G59">
        <v>0.77800000000000002</v>
      </c>
      <c r="H59" s="8">
        <f t="shared" si="0"/>
        <v>0</v>
      </c>
      <c r="L59" t="s">
        <v>21</v>
      </c>
      <c r="M59" t="s">
        <v>10</v>
      </c>
      <c r="N59" t="s">
        <v>12</v>
      </c>
      <c r="O59">
        <v>0.78900000000000003</v>
      </c>
      <c r="P59">
        <v>1.2E-2</v>
      </c>
      <c r="Q59">
        <v>0.78</v>
      </c>
      <c r="R59">
        <f t="shared" si="1"/>
        <v>1</v>
      </c>
      <c r="S59" t="b">
        <f t="shared" si="2"/>
        <v>1</v>
      </c>
    </row>
    <row r="60" spans="1:19" x14ac:dyDescent="0.45">
      <c r="A60">
        <f t="shared" si="3"/>
        <v>58</v>
      </c>
      <c r="B60" t="s">
        <v>21</v>
      </c>
      <c r="C60" t="s">
        <v>10</v>
      </c>
      <c r="D60" t="s">
        <v>13</v>
      </c>
      <c r="E60">
        <v>0.83099999999999996</v>
      </c>
      <c r="F60">
        <v>1.7000000000000001E-2</v>
      </c>
      <c r="G60">
        <v>0.80200000000000005</v>
      </c>
      <c r="H60" s="8">
        <f t="shared" si="0"/>
        <v>0</v>
      </c>
      <c r="L60" t="s">
        <v>21</v>
      </c>
      <c r="M60" t="s">
        <v>10</v>
      </c>
      <c r="N60" t="s">
        <v>13</v>
      </c>
      <c r="O60">
        <v>0.83</v>
      </c>
      <c r="P60">
        <v>2.8000000000000001E-2</v>
      </c>
      <c r="Q60">
        <v>0.81699999999999995</v>
      </c>
      <c r="R60">
        <f t="shared" si="1"/>
        <v>0</v>
      </c>
      <c r="S60" t="b">
        <f t="shared" si="2"/>
        <v>1</v>
      </c>
    </row>
    <row r="61" spans="1:19" x14ac:dyDescent="0.45">
      <c r="A61">
        <f t="shared" si="3"/>
        <v>59</v>
      </c>
      <c r="B61" t="s">
        <v>21</v>
      </c>
      <c r="C61" t="s">
        <v>10</v>
      </c>
      <c r="D61" t="s">
        <v>14</v>
      </c>
      <c r="E61">
        <v>0.753</v>
      </c>
      <c r="F61">
        <v>2.1000000000000001E-2</v>
      </c>
      <c r="G61">
        <v>0.752</v>
      </c>
      <c r="H61" s="8">
        <f t="shared" si="0"/>
        <v>0</v>
      </c>
      <c r="L61" t="s">
        <v>21</v>
      </c>
      <c r="M61" t="s">
        <v>10</v>
      </c>
      <c r="N61" t="s">
        <v>14</v>
      </c>
      <c r="O61">
        <v>0.74399999999999999</v>
      </c>
      <c r="P61">
        <v>3.2000000000000001E-2</v>
      </c>
      <c r="Q61">
        <v>0.73699999999999999</v>
      </c>
      <c r="R61">
        <f t="shared" si="1"/>
        <v>0</v>
      </c>
      <c r="S61" t="b">
        <f t="shared" si="2"/>
        <v>0</v>
      </c>
    </row>
    <row r="62" spans="1:19" s="1" customFormat="1" x14ac:dyDescent="0.45">
      <c r="A62" s="1">
        <f t="shared" si="3"/>
        <v>60</v>
      </c>
      <c r="B62" s="1" t="s">
        <v>21</v>
      </c>
      <c r="C62" s="1" t="s">
        <v>10</v>
      </c>
      <c r="D62" s="1" t="s">
        <v>15</v>
      </c>
      <c r="E62" s="1">
        <v>0.79</v>
      </c>
      <c r="F62" s="1">
        <v>1.6E-2</v>
      </c>
      <c r="G62" s="1">
        <v>0.77700000000000002</v>
      </c>
      <c r="H62" s="9">
        <f t="shared" si="0"/>
        <v>1</v>
      </c>
      <c r="L62" s="1" t="s">
        <v>21</v>
      </c>
      <c r="M62" s="1" t="s">
        <v>10</v>
      </c>
      <c r="N62" s="1" t="s">
        <v>15</v>
      </c>
      <c r="O62" s="1">
        <v>0.78300000000000003</v>
      </c>
      <c r="P62" s="1">
        <v>1.4E-2</v>
      </c>
      <c r="Q62" s="1">
        <v>0.77500000000000002</v>
      </c>
      <c r="R62" s="1">
        <f t="shared" si="1"/>
        <v>0</v>
      </c>
      <c r="S62" s="1" t="b">
        <f t="shared" si="2"/>
        <v>0</v>
      </c>
    </row>
    <row r="63" spans="1:19" x14ac:dyDescent="0.45">
      <c r="A63">
        <f t="shared" si="3"/>
        <v>61</v>
      </c>
      <c r="B63" t="s">
        <v>21</v>
      </c>
      <c r="C63" t="s">
        <v>18</v>
      </c>
      <c r="D63" t="s">
        <v>12</v>
      </c>
      <c r="E63">
        <v>0.79500000000000004</v>
      </c>
      <c r="F63">
        <v>1.0999999999999999E-2</v>
      </c>
      <c r="G63">
        <v>0.77800000000000002</v>
      </c>
      <c r="H63" s="8">
        <f t="shared" si="0"/>
        <v>0</v>
      </c>
      <c r="L63" t="s">
        <v>21</v>
      </c>
      <c r="M63" t="s">
        <v>18</v>
      </c>
      <c r="N63" t="s">
        <v>12</v>
      </c>
      <c r="O63">
        <v>0.78900000000000003</v>
      </c>
      <c r="P63">
        <v>1.2E-2</v>
      </c>
      <c r="Q63">
        <v>0.78</v>
      </c>
      <c r="R63">
        <f t="shared" si="1"/>
        <v>0</v>
      </c>
      <c r="S63" t="b">
        <f t="shared" si="2"/>
        <v>1</v>
      </c>
    </row>
    <row r="64" spans="1:19" x14ac:dyDescent="0.45">
      <c r="A64">
        <f t="shared" si="3"/>
        <v>62</v>
      </c>
      <c r="B64" t="s">
        <v>21</v>
      </c>
      <c r="C64" t="s">
        <v>18</v>
      </c>
      <c r="D64" t="s">
        <v>13</v>
      </c>
      <c r="E64">
        <v>0.83099999999999996</v>
      </c>
      <c r="F64">
        <v>1.7000000000000001E-2</v>
      </c>
      <c r="G64">
        <v>0.80200000000000005</v>
      </c>
      <c r="H64" s="8">
        <f t="shared" si="0"/>
        <v>0</v>
      </c>
      <c r="L64" t="s">
        <v>21</v>
      </c>
      <c r="M64" t="s">
        <v>18</v>
      </c>
      <c r="N64" t="s">
        <v>13</v>
      </c>
      <c r="O64">
        <v>0.83</v>
      </c>
      <c r="P64">
        <v>2.8000000000000001E-2</v>
      </c>
      <c r="Q64">
        <v>0.81699999999999995</v>
      </c>
      <c r="R64">
        <f t="shared" si="1"/>
        <v>0</v>
      </c>
      <c r="S64" t="b">
        <f t="shared" si="2"/>
        <v>1</v>
      </c>
    </row>
    <row r="65" spans="1:19" x14ac:dyDescent="0.45">
      <c r="A65">
        <f t="shared" si="3"/>
        <v>63</v>
      </c>
      <c r="B65" t="s">
        <v>21</v>
      </c>
      <c r="C65" t="s">
        <v>18</v>
      </c>
      <c r="D65" t="s">
        <v>14</v>
      </c>
      <c r="E65">
        <v>0.753</v>
      </c>
      <c r="F65">
        <v>2.1000000000000001E-2</v>
      </c>
      <c r="G65">
        <v>0.752</v>
      </c>
      <c r="H65" s="8">
        <f t="shared" si="0"/>
        <v>0</v>
      </c>
      <c r="L65" t="s">
        <v>21</v>
      </c>
      <c r="M65" t="s">
        <v>18</v>
      </c>
      <c r="N65" t="s">
        <v>14</v>
      </c>
      <c r="O65">
        <v>0.74399999999999999</v>
      </c>
      <c r="P65">
        <v>3.2000000000000001E-2</v>
      </c>
      <c r="Q65">
        <v>0.73699999999999999</v>
      </c>
      <c r="R65">
        <f t="shared" si="1"/>
        <v>0</v>
      </c>
      <c r="S65" t="b">
        <f t="shared" si="2"/>
        <v>0</v>
      </c>
    </row>
    <row r="66" spans="1:19" x14ac:dyDescent="0.45">
      <c r="A66">
        <f t="shared" si="3"/>
        <v>64</v>
      </c>
      <c r="B66" t="s">
        <v>21</v>
      </c>
      <c r="C66" t="s">
        <v>18</v>
      </c>
      <c r="D66" t="s">
        <v>15</v>
      </c>
      <c r="E66">
        <v>0.79</v>
      </c>
      <c r="F66">
        <v>1.6E-2</v>
      </c>
      <c r="G66">
        <v>0.77700000000000002</v>
      </c>
      <c r="H66" s="8">
        <f t="shared" si="0"/>
        <v>0</v>
      </c>
      <c r="L66" t="s">
        <v>21</v>
      </c>
      <c r="M66" t="s">
        <v>18</v>
      </c>
      <c r="N66" t="s">
        <v>15</v>
      </c>
      <c r="O66">
        <v>0.78300000000000003</v>
      </c>
      <c r="P66">
        <v>1.4E-2</v>
      </c>
      <c r="Q66">
        <v>0.77500000000000002</v>
      </c>
      <c r="R66">
        <f t="shared" si="1"/>
        <v>0</v>
      </c>
      <c r="S66" t="b">
        <f t="shared" si="2"/>
        <v>0</v>
      </c>
    </row>
  </sheetData>
  <autoFilter ref="B2:S66" xr:uid="{00000000-0001-0000-0100-000000000000}"/>
  <mergeCells count="2">
    <mergeCell ref="B1:G1"/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IncomeInvestment</vt:lpstr>
      <vt:lpstr>AccumulationInvestment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Nicolo Toia</cp:lastModifiedBy>
  <dcterms:created xsi:type="dcterms:W3CDTF">2025-04-02T13:09:03Z</dcterms:created>
  <dcterms:modified xsi:type="dcterms:W3CDTF">2025-04-02T17:27:33Z</dcterms:modified>
</cp:coreProperties>
</file>